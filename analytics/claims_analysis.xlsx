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" sheetId="2" state="visible" r:id="rId2"/>
    <sheet name="Chronic Conditions" sheetId="3" state="visible" r:id="rId3"/>
    <sheet name="Inpatient Stays" sheetId="4" state="visible" r:id="rId4"/>
    <sheet name="Data_Monthly" sheetId="5" state="visible" r:id="rId5"/>
    <sheet name="Data_Diagnosis" sheetId="6" state="visible" r:id="rId6"/>
    <sheet name="Data_States" sheetId="7" state="visible" r:id="rId7"/>
    <sheet name="Data_LOS" sheetId="8" state="visible" r:id="rId8"/>
    <sheet name="Data_Conditions" sheetId="9" state="visible" r:id="rId9"/>
    <sheet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$#,##0;($#,##0);&quot;-&quot;"/>
    <numFmt numFmtId="166" formatCode="$#,##0"/>
    <numFmt numFmtId="167" formatCode="0.0%;(0.0%);&quot;-&quot;"/>
    <numFmt numFmtId="168" formatCode="0.0&quot;x&quot;"/>
  </numFmts>
  <fonts count="11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color rgb="00595959"/>
      <sz val="9"/>
    </font>
    <font>
      <name val="Arial"/>
      <b val="1"/>
      <color rgb="001F3864"/>
      <sz val="14"/>
    </font>
    <font>
      <name val="Arial"/>
      <i val="1"/>
      <color rgb="007F7F7F"/>
      <sz val="8"/>
    </font>
    <font>
      <name val="Arial"/>
      <b val="1"/>
      <color rgb="001F3864"/>
      <sz val="12"/>
    </font>
    <font>
      <name val="Arial"/>
      <b val="1"/>
      <color rgb="00FFFFFF"/>
    </font>
    <font>
      <name val="Arial"/>
      <b val="1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1" fontId="1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1" fontId="2" fillId="0" borderId="1" pivotButton="0" quotePrefix="0" xfId="0"/>
    <xf numFmtId="0" fontId="1" fillId="0" borderId="0" pivotButton="0" quotePrefix="0" xfId="0"/>
    <xf numFmtId="1" fontId="10" fillId="3" borderId="0" pivotButton="0" quotePrefix="0" xfId="0"/>
    <xf numFmtId="168" fontId="2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by year and claim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'Summary'!D10</f>
            </strRef>
          </tx>
          <spPr>
            <a:ln>
              <a:prstDash val="solid"/>
            </a:ln>
          </spPr>
          <cat>
            <numRef>
              <f>'Summary'!$B$11:$B$13</f>
            </numRef>
          </cat>
          <val>
            <numRef>
              <f>'Summary'!$D$11:$D$13</f>
            </numRef>
          </val>
        </ser>
        <ser>
          <idx val="1"/>
          <order val="1"/>
          <tx>
            <strRef>
              <f>'Summary'!F10</f>
            </strRef>
          </tx>
          <spPr>
            <a:ln>
              <a:prstDash val="solid"/>
            </a:ln>
          </spPr>
          <cat>
            <numRef>
              <f>'Summary'!$B$11:$B$13</f>
            </numRef>
          </cat>
          <val>
            <numRef>
              <f>'Summary'!$F$11:$F$13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numFmt formatCode="$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diagnosis chapters by payment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'Summary'!D18</f>
            </strRef>
          </tx>
          <spPr>
            <a:ln>
              <a:prstDash val="solid"/>
            </a:ln>
          </spPr>
          <cat>
            <numRef>
              <f>'Summary'!$B$19:$B$28</f>
            </numRef>
          </cat>
          <val>
            <numRef>
              <f>'Summary'!$D$19:$D$28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Medicare payment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Trend'!$D$6:$D$41</f>
            </numRef>
          </cat>
          <val>
            <numRef>
              <f>'Monthly Trend'!$E$6:$E$41</f>
            </numRef>
          </val>
        </ser>
        <ser>
          <idx val="1"/>
          <order val="1"/>
          <tx>
            <strRef>
              <f>'Monthly Trend'!F5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Trend'!$D$6:$D$41</f>
            </numRef>
          </cat>
          <val>
            <numRef>
              <f>'Monthly Trend'!$F$6:$F$41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numFmt formatCode="$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Prevalence by condition (selected year)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'Chronic Conditions'!E7</f>
            </strRef>
          </tx>
          <spPr>
            <a:ln>
              <a:prstDash val="solid"/>
            </a:ln>
          </spPr>
          <cat>
            <numRef>
              <f>'Chronic Conditions'!$B$8:$B$18</f>
            </numRef>
          </cat>
          <val>
            <numRef>
              <f>'Chronic Conditions'!$E$8:$E$18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inpatient payment by length of stay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'Inpatient Stays'!H5</f>
            </strRef>
          </tx>
          <spPr>
            <a:ln>
              <a:prstDash val="solid"/>
            </a:ln>
          </spPr>
          <cat>
            <numRef>
              <f>'Inpatient Stays'!$B$6:$B$10</f>
            </numRef>
          </cat>
          <val>
            <numRef>
              <f>'Inpatient Stays'!$H$6:$H$10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analytics</author>
  </authors>
  <commentList>
    <comment ref="C5" authorId="0" shapeId="0">
      <text>
        <t>Enter 2008, 2009 or 2010. Every number on this sheet updates.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16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6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_Monthly" displayName="Data_Monthly" ref="A1:G76" headerRowCount="1">
  <autoFilter ref="A1:G76"/>
  <tableColumns count="7">
    <tableColumn id="1" name="claim_year"/>
    <tableColumn id="2" name="month"/>
    <tableColumn id="3" name="claim_type"/>
    <tableColumn id="4" name="claims"/>
    <tableColumn id="5" name="patients"/>
    <tableColumn id="6" name="total_payment"/>
    <tableColumn id="7" name="adjustments"/>
  </tableColumns>
  <tableStyleInfo name="TableStyleMedium2" showRowStripes="1"/>
</table>
</file>

<file path=xl/tables/table2.xml><?xml version="1.0" encoding="utf-8"?>
<table xmlns="http://schemas.openxmlformats.org/spreadsheetml/2006/main" id="2" name="Data_Diagnosis" displayName="Data_Diagnosis" ref="A1:E147" headerRowCount="1">
  <autoFilter ref="A1:E147"/>
  <tableColumns count="5">
    <tableColumn id="1" name="claim_year"/>
    <tableColumn id="2" name="claim_type"/>
    <tableColumn id="3" name="icd9_chapter"/>
    <tableColumn id="4" name="claims"/>
    <tableColumn id="5" name="total_payment"/>
  </tableColumns>
  <tableStyleInfo name="TableStyleMedium2" showRowStripes="1"/>
</table>
</file>

<file path=xl/tables/table3.xml><?xml version="1.0" encoding="utf-8"?>
<table xmlns="http://schemas.openxmlformats.org/spreadsheetml/2006/main" id="3" name="Data_States" displayName="Data_States" ref="A1:E205" headerRowCount="1">
  <autoFilter ref="A1:E205"/>
  <tableColumns count="5">
    <tableColumn id="1" name="claim_year"/>
    <tableColumn id="2" name="state_code"/>
    <tableColumn id="3" name="claims"/>
    <tableColumn id="4" name="patients"/>
    <tableColumn id="5" name="total_payment"/>
  </tableColumns>
  <tableStyleInfo name="TableStyleMedium2" showRowStripes="1"/>
</table>
</file>

<file path=xl/tables/table4.xml><?xml version="1.0" encoding="utf-8"?>
<table xmlns="http://schemas.openxmlformats.org/spreadsheetml/2006/main" id="4" name="Data_LOS" displayName="Data_LOS" ref="A1:D21" headerRowCount="1">
  <autoFilter ref="A1:D21"/>
  <tableColumns count="4">
    <tableColumn id="1" name="claim_year"/>
    <tableColumn id="2" name="length_of_stay_band"/>
    <tableColumn id="3" name="claims"/>
    <tableColumn id="4" name="total_payment"/>
  </tableColumns>
  <tableStyleInfo name="TableStyleMedium2" showRowStripes="1"/>
</table>
</file>

<file path=xl/tables/table5.xml><?xml version="1.0" encoding="utf-8"?>
<table xmlns="http://schemas.openxmlformats.org/spreadsheetml/2006/main" id="5" name="Data_Conditions" displayName="Data_Conditions" ref="A1:F34" headerRowCount="1">
  <autoFilter ref="A1:F34"/>
  <tableColumns count="6">
    <tableColumn id="1" name="coverage_year"/>
    <tableColumn id="2" name="condition"/>
    <tableColumn id="3" name="total_patients"/>
    <tableColumn id="4" name="patients_with_condition"/>
    <tableColumn id="5" name="reimbursement_with_condition"/>
    <tableColumn id="6" name="reimbursement_without_cond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8" customWidth="1" min="4" max="4"/>
    <col width="15" customWidth="1" min="5" max="5"/>
    <col width="18" customWidth="1" min="6" max="6"/>
    <col width="18" customWidth="1" min="7" max="7"/>
    <col width="16" customWidth="1" min="8" max="8"/>
  </cols>
  <sheetData>
    <row r="2">
      <c r="B2" s="1" t="inlineStr">
        <is>
          <t>Medicare Claims Analysis, 2008-2010</t>
        </is>
      </c>
    </row>
    <row r="3">
      <c r="B3" s="2" t="inlineStr">
        <is>
          <t>CMS DE-SynPUF synthetic Medicare data (Sample 1). Source: gold layer of the healthcare-claims-etl pipeline.</t>
        </is>
      </c>
    </row>
    <row r="5">
      <c r="B5" s="3" t="inlineStr">
        <is>
          <t>Total Medicare payment</t>
        </is>
      </c>
      <c r="D5" s="3" t="inlineStr">
        <is>
          <t>Claims</t>
        </is>
      </c>
      <c r="F5" s="3" t="inlineStr">
        <is>
          <t>Average payment per claim</t>
        </is>
      </c>
      <c r="H5" s="3" t="inlineStr">
        <is>
          <t>Inpatient share of payment</t>
        </is>
      </c>
    </row>
    <row r="6">
      <c r="B6" s="4">
        <f>SUMIFS(Data_Monthly!$F$2:$F$76,Data_Monthly!$A$2:$A$76,"&gt;=2008")</f>
        <v/>
      </c>
      <c r="D6" s="5">
        <f>SUMIFS(Data_Monthly!$D$2:$D$76,Data_Monthly!$A$2:$A$76,"&gt;=2008")</f>
        <v/>
      </c>
      <c r="F6" s="6">
        <f>IF(D6=0,0,B6/D6)</f>
        <v/>
      </c>
      <c r="H6" s="7">
        <f>IF(B6=0,0,SUMIFS(Data_Monthly!$F$2:$F$76,Data_Monthly!$A$2:$A$76,"&gt;=2008",Data_Monthly!$C$2:$C$76,"IP")/B6)</f>
        <v/>
      </c>
    </row>
    <row r="7">
      <c r="B7" s="8" t="inlineStr">
        <is>
          <t>Years 2008-2010. The 536 claims that start in 2007 are excluded.</t>
        </is>
      </c>
    </row>
    <row r="9">
      <c r="B9" s="9" t="inlineStr">
        <is>
          <t>Payment and claims by year</t>
        </is>
      </c>
    </row>
    <row r="10" ht="30" customHeight="1">
      <c r="B10" s="10" t="inlineStr">
        <is>
          <t>Year</t>
        </is>
      </c>
      <c r="C10" s="10" t="inlineStr">
        <is>
          <t>Inpatient claims</t>
        </is>
      </c>
      <c r="D10" s="10" t="inlineStr">
        <is>
          <t>Inpatient payment</t>
        </is>
      </c>
      <c r="E10" s="10" t="inlineStr">
        <is>
          <t>Outpatient claims</t>
        </is>
      </c>
      <c r="F10" s="10" t="inlineStr">
        <is>
          <t>Outpatient payment</t>
        </is>
      </c>
      <c r="G10" s="10" t="inlineStr">
        <is>
          <t>Total payment</t>
        </is>
      </c>
      <c r="H10" s="10" t="inlineStr">
        <is>
          <t>Change vs prior year</t>
        </is>
      </c>
    </row>
    <row r="11">
      <c r="B11" s="11" t="n">
        <v>2008</v>
      </c>
      <c r="C11" s="12">
        <f>SUMIFS(Data_Monthly!$D$2:$D$76,Data_Monthly!$A$2:$A$76,$B11,Data_Monthly!$C$2:$C$76,"IP")</f>
        <v/>
      </c>
      <c r="D11" s="13">
        <f>SUMIFS(Data_Monthly!$F$2:$F$76,Data_Monthly!$A$2:$A$76,$B11,Data_Monthly!$C$2:$C$76,"IP")</f>
        <v/>
      </c>
      <c r="E11" s="12">
        <f>SUMIFS(Data_Monthly!$D$2:$D$76,Data_Monthly!$A$2:$A$76,$B11,Data_Monthly!$C$2:$C$76,"OP")</f>
        <v/>
      </c>
      <c r="F11" s="13">
        <f>SUMIFS(Data_Monthly!$F$2:$F$76,Data_Monthly!$A$2:$A$76,$B11,Data_Monthly!$C$2:$C$76,"OP")</f>
        <v/>
      </c>
      <c r="G11" s="13">
        <f>D11+F11</f>
        <v/>
      </c>
      <c r="H11" s="14" t="inlineStr">
        <is>
          <t>-</t>
        </is>
      </c>
    </row>
    <row r="12">
      <c r="B12" s="11" t="n">
        <v>2009</v>
      </c>
      <c r="C12" s="12">
        <f>SUMIFS(Data_Monthly!$D$2:$D$76,Data_Monthly!$A$2:$A$76,$B12,Data_Monthly!$C$2:$C$76,"IP")</f>
        <v/>
      </c>
      <c r="D12" s="13">
        <f>SUMIFS(Data_Monthly!$F$2:$F$76,Data_Monthly!$A$2:$A$76,$B12,Data_Monthly!$C$2:$C$76,"IP")</f>
        <v/>
      </c>
      <c r="E12" s="12">
        <f>SUMIFS(Data_Monthly!$D$2:$D$76,Data_Monthly!$A$2:$A$76,$B12,Data_Monthly!$C$2:$C$76,"OP")</f>
        <v/>
      </c>
      <c r="F12" s="13">
        <f>SUMIFS(Data_Monthly!$F$2:$F$76,Data_Monthly!$A$2:$A$76,$B12,Data_Monthly!$C$2:$C$76,"OP")</f>
        <v/>
      </c>
      <c r="G12" s="13">
        <f>D12+F12</f>
        <v/>
      </c>
      <c r="H12" s="14">
        <f>IF(G11=0,"-",G12/G11-1)</f>
        <v/>
      </c>
    </row>
    <row r="13">
      <c r="B13" s="11" t="n">
        <v>2010</v>
      </c>
      <c r="C13" s="12">
        <f>SUMIFS(Data_Monthly!$D$2:$D$76,Data_Monthly!$A$2:$A$76,$B13,Data_Monthly!$C$2:$C$76,"IP")</f>
        <v/>
      </c>
      <c r="D13" s="13">
        <f>SUMIFS(Data_Monthly!$F$2:$F$76,Data_Monthly!$A$2:$A$76,$B13,Data_Monthly!$C$2:$C$76,"IP")</f>
        <v/>
      </c>
      <c r="E13" s="12">
        <f>SUMIFS(Data_Monthly!$D$2:$D$76,Data_Monthly!$A$2:$A$76,$B13,Data_Monthly!$C$2:$C$76,"OP")</f>
        <v/>
      </c>
      <c r="F13" s="13">
        <f>SUMIFS(Data_Monthly!$F$2:$F$76,Data_Monthly!$A$2:$A$76,$B13,Data_Monthly!$C$2:$C$76,"OP")</f>
        <v/>
      </c>
      <c r="G13" s="13">
        <f>D13+F13</f>
        <v/>
      </c>
      <c r="H13" s="14">
        <f>IF(G12=0,"-",G13/G12-1)</f>
        <v/>
      </c>
    </row>
    <row r="14">
      <c r="B14" s="15" t="inlineStr">
        <is>
          <t>Total</t>
        </is>
      </c>
      <c r="C14" s="16">
        <f>SUM(C11:C13)</f>
        <v/>
      </c>
      <c r="D14" s="17">
        <f>SUM(D11:D13)</f>
        <v/>
      </c>
      <c r="E14" s="16">
        <f>SUM(E11:E13)</f>
        <v/>
      </c>
      <c r="F14" s="17">
        <f>SUM(F11:F13)</f>
        <v/>
      </c>
      <c r="G14" s="17">
        <f>SUM(G11:G13)</f>
        <v/>
      </c>
      <c r="H14" s="18" t="inlineStr"/>
    </row>
    <row r="15">
      <c r="B15" s="8" t="inlineStr">
        <is>
          <t>The CMS sample has fewer 2010 claims than earlier years, so 2010 totals are lower.</t>
        </is>
      </c>
    </row>
    <row r="17">
      <c r="B17" s="9" t="inlineStr">
        <is>
          <t>Top 10 diagnosis chapters by payment (primary diagnosis, 2008-2010)</t>
        </is>
      </c>
    </row>
    <row r="18" ht="30" customHeight="1">
      <c r="B18" s="10" t="inlineStr">
        <is>
          <t>ICD-9 chapter</t>
        </is>
      </c>
      <c r="C18" s="10" t="inlineStr">
        <is>
          <t>Claims</t>
        </is>
      </c>
      <c r="D18" s="10" t="inlineStr">
        <is>
          <t>Payment</t>
        </is>
      </c>
      <c r="E18" s="10" t="inlineStr">
        <is>
          <t>Share of payment</t>
        </is>
      </c>
      <c r="F18" s="10" t="inlineStr">
        <is>
          <t>Average payment per claim</t>
        </is>
      </c>
    </row>
    <row r="19">
      <c r="B19" s="18" t="inlineStr">
        <is>
          <t>Circulatory system</t>
        </is>
      </c>
      <c r="C19" s="12">
        <f>SUMIFS(Data_Diagnosis!$D$2:$D$147,Data_Diagnosis!$A$2:$A$147,"&gt;=2008",Data_Diagnosis!$C$2:$C$147,$B19)</f>
        <v/>
      </c>
      <c r="D19" s="13">
        <f>SUMIFS(Data_Diagnosis!$E$2:$E$147,Data_Diagnosis!$A$2:$A$147,"&gt;=2008",Data_Diagnosis!$C$2:$C$147,$B19)</f>
        <v/>
      </c>
      <c r="E19" s="14">
        <f>IF($B$6=0,0,D19/$B$6)</f>
        <v/>
      </c>
      <c r="F19" s="19">
        <f>IF(C19=0,0,D19/C19)</f>
        <v/>
      </c>
    </row>
    <row r="20">
      <c r="B20" s="18" t="inlineStr">
        <is>
          <t>Supplementary factors (V codes)</t>
        </is>
      </c>
      <c r="C20" s="12">
        <f>SUMIFS(Data_Diagnosis!$D$2:$D$147,Data_Diagnosis!$A$2:$A$147,"&gt;=2008",Data_Diagnosis!$C$2:$C$147,$B20)</f>
        <v/>
      </c>
      <c r="D20" s="13">
        <f>SUMIFS(Data_Diagnosis!$E$2:$E$147,Data_Diagnosis!$A$2:$A$147,"&gt;=2008",Data_Diagnosis!$C$2:$C$147,$B20)</f>
        <v/>
      </c>
      <c r="E20" s="14">
        <f>IF($B$6=0,0,D20/$B$6)</f>
        <v/>
      </c>
      <c r="F20" s="19">
        <f>IF(C20=0,0,D20/C20)</f>
        <v/>
      </c>
    </row>
    <row r="21">
      <c r="B21" s="18" t="inlineStr">
        <is>
          <t>Respiratory system</t>
        </is>
      </c>
      <c r="C21" s="12">
        <f>SUMIFS(Data_Diagnosis!$D$2:$D$147,Data_Diagnosis!$A$2:$A$147,"&gt;=2008",Data_Diagnosis!$C$2:$C$147,$B21)</f>
        <v/>
      </c>
      <c r="D21" s="13">
        <f>SUMIFS(Data_Diagnosis!$E$2:$E$147,Data_Diagnosis!$A$2:$A$147,"&gt;=2008",Data_Diagnosis!$C$2:$C$147,$B21)</f>
        <v/>
      </c>
      <c r="E21" s="14">
        <f>IF($B$6=0,0,D21/$B$6)</f>
        <v/>
      </c>
      <c r="F21" s="19">
        <f>IF(C21=0,0,D21/C21)</f>
        <v/>
      </c>
    </row>
    <row r="22">
      <c r="B22" s="18" t="inlineStr">
        <is>
          <t>Injury and poisoning</t>
        </is>
      </c>
      <c r="C22" s="12">
        <f>SUMIFS(Data_Diagnosis!$D$2:$D$147,Data_Diagnosis!$A$2:$A$147,"&gt;=2008",Data_Diagnosis!$C$2:$C$147,$B22)</f>
        <v/>
      </c>
      <c r="D22" s="13">
        <f>SUMIFS(Data_Diagnosis!$E$2:$E$147,Data_Diagnosis!$A$2:$A$147,"&gt;=2008",Data_Diagnosis!$C$2:$C$147,$B22)</f>
        <v/>
      </c>
      <c r="E22" s="14">
        <f>IF($B$6=0,0,D22/$B$6)</f>
        <v/>
      </c>
      <c r="F22" s="19">
        <f>IF(C22=0,0,D22/C22)</f>
        <v/>
      </c>
    </row>
    <row r="23">
      <c r="B23" s="18" t="inlineStr">
        <is>
          <t>Musculoskeletal system</t>
        </is>
      </c>
      <c r="C23" s="12">
        <f>SUMIFS(Data_Diagnosis!$D$2:$D$147,Data_Diagnosis!$A$2:$A$147,"&gt;=2008",Data_Diagnosis!$C$2:$C$147,$B23)</f>
        <v/>
      </c>
      <c r="D23" s="13">
        <f>SUMIFS(Data_Diagnosis!$E$2:$E$147,Data_Diagnosis!$A$2:$A$147,"&gt;=2008",Data_Diagnosis!$C$2:$C$147,$B23)</f>
        <v/>
      </c>
      <c r="E23" s="14">
        <f>IF($B$6=0,0,D23/$B$6)</f>
        <v/>
      </c>
      <c r="F23" s="19">
        <f>IF(C23=0,0,D23/C23)</f>
        <v/>
      </c>
    </row>
    <row r="24">
      <c r="B24" s="18" t="inlineStr">
        <is>
          <t>Digestive system</t>
        </is>
      </c>
      <c r="C24" s="12">
        <f>SUMIFS(Data_Diagnosis!$D$2:$D$147,Data_Diagnosis!$A$2:$A$147,"&gt;=2008",Data_Diagnosis!$C$2:$C$147,$B24)</f>
        <v/>
      </c>
      <c r="D24" s="13">
        <f>SUMIFS(Data_Diagnosis!$E$2:$E$147,Data_Diagnosis!$A$2:$A$147,"&gt;=2008",Data_Diagnosis!$C$2:$C$147,$B24)</f>
        <v/>
      </c>
      <c r="E24" s="14">
        <f>IF($B$6=0,0,D24/$B$6)</f>
        <v/>
      </c>
      <c r="F24" s="19">
        <f>IF(C24=0,0,D24/C24)</f>
        <v/>
      </c>
    </row>
    <row r="25">
      <c r="B25" s="18" t="inlineStr">
        <is>
          <t>Neoplasms</t>
        </is>
      </c>
      <c r="C25" s="12">
        <f>SUMIFS(Data_Diagnosis!$D$2:$D$147,Data_Diagnosis!$A$2:$A$147,"&gt;=2008",Data_Diagnosis!$C$2:$C$147,$B25)</f>
        <v/>
      </c>
      <c r="D25" s="13">
        <f>SUMIFS(Data_Diagnosis!$E$2:$E$147,Data_Diagnosis!$A$2:$A$147,"&gt;=2008",Data_Diagnosis!$C$2:$C$147,$B25)</f>
        <v/>
      </c>
      <c r="E25" s="14">
        <f>IF($B$6=0,0,D25/$B$6)</f>
        <v/>
      </c>
      <c r="F25" s="19">
        <f>IF(C25=0,0,D25/C25)</f>
        <v/>
      </c>
    </row>
    <row r="26">
      <c r="B26" s="18" t="inlineStr">
        <is>
          <t>Genitourinary system</t>
        </is>
      </c>
      <c r="C26" s="12">
        <f>SUMIFS(Data_Diagnosis!$D$2:$D$147,Data_Diagnosis!$A$2:$A$147,"&gt;=2008",Data_Diagnosis!$C$2:$C$147,$B26)</f>
        <v/>
      </c>
      <c r="D26" s="13">
        <f>SUMIFS(Data_Diagnosis!$E$2:$E$147,Data_Diagnosis!$A$2:$A$147,"&gt;=2008",Data_Diagnosis!$C$2:$C$147,$B26)</f>
        <v/>
      </c>
      <c r="E26" s="14">
        <f>IF($B$6=0,0,D26/$B$6)</f>
        <v/>
      </c>
      <c r="F26" s="19">
        <f>IF(C26=0,0,D26/C26)</f>
        <v/>
      </c>
    </row>
    <row r="27">
      <c r="B27" s="18" t="inlineStr">
        <is>
          <t>Infectious and parasitic diseases</t>
        </is>
      </c>
      <c r="C27" s="12">
        <f>SUMIFS(Data_Diagnosis!$D$2:$D$147,Data_Diagnosis!$A$2:$A$147,"&gt;=2008",Data_Diagnosis!$C$2:$C$147,$B27)</f>
        <v/>
      </c>
      <c r="D27" s="13">
        <f>SUMIFS(Data_Diagnosis!$E$2:$E$147,Data_Diagnosis!$A$2:$A$147,"&gt;=2008",Data_Diagnosis!$C$2:$C$147,$B27)</f>
        <v/>
      </c>
      <c r="E27" s="14">
        <f>IF($B$6=0,0,D27/$B$6)</f>
        <v/>
      </c>
      <c r="F27" s="19">
        <f>IF(C27=0,0,D27/C27)</f>
        <v/>
      </c>
    </row>
    <row r="28">
      <c r="B28" s="18" t="inlineStr">
        <is>
          <t>Symptoms, signs and ill-defined conditions</t>
        </is>
      </c>
      <c r="C28" s="12">
        <f>SUMIFS(Data_Diagnosis!$D$2:$D$147,Data_Diagnosis!$A$2:$A$147,"&gt;=2008",Data_Diagnosis!$C$2:$C$147,$B28)</f>
        <v/>
      </c>
      <c r="D28" s="13">
        <f>SUMIFS(Data_Diagnosis!$E$2:$E$147,Data_Diagnosis!$A$2:$A$147,"&gt;=2008",Data_Diagnosis!$C$2:$C$147,$B28)</f>
        <v/>
      </c>
      <c r="E28" s="14">
        <f>IF($B$6=0,0,D28/$B$6)</f>
        <v/>
      </c>
      <c r="F28" s="19">
        <f>IF(C28=0,0,D28/C28)</f>
        <v/>
      </c>
    </row>
    <row r="29">
      <c r="B29" s="18" t="inlineStr">
        <is>
          <t>All other chapters</t>
        </is>
      </c>
      <c r="C29" s="12">
        <f>$D$6-SUM(C19:C28)</f>
        <v/>
      </c>
      <c r="D29" s="13">
        <f>$B$6-SUM(D19:D28)</f>
        <v/>
      </c>
      <c r="E29" s="14">
        <f>IF($B$6=0,0,D29/$B$6)</f>
        <v/>
      </c>
      <c r="F29" s="19">
        <f>IF(C29=0,0,D29/C29)</f>
        <v/>
      </c>
    </row>
    <row r="30">
      <c r="B30" s="8" t="inlineStr">
        <is>
          <t>Chapters are ranked by 2008-2010 payment when the workbook is built; values are live formulas.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12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2">
      <c r="B2" s="1" t="inlineStr">
        <is>
          <t>Monthly payment trend</t>
        </is>
      </c>
    </row>
    <row r="3">
      <c r="B3" s="2" t="inlineStr">
        <is>
          <t>Medicare payment per month by claim type, 2008-2010.</t>
        </is>
      </c>
    </row>
    <row r="5" ht="30" customHeight="1">
      <c r="B5" s="10" t="inlineStr">
        <is>
          <t>Year</t>
        </is>
      </c>
      <c r="C5" s="10" t="inlineStr">
        <is>
          <t>Month</t>
        </is>
      </c>
      <c r="D5" s="10" t="inlineStr">
        <is>
          <t>Month label</t>
        </is>
      </c>
      <c r="E5" s="10" t="inlineStr">
        <is>
          <t>Inpatient payment</t>
        </is>
      </c>
      <c r="F5" s="10" t="inlineStr">
        <is>
          <t>Outpatient payment</t>
        </is>
      </c>
      <c r="G5" s="10" t="inlineStr">
        <is>
          <t>Total payment</t>
        </is>
      </c>
      <c r="H5" s="10" t="inlineStr">
        <is>
          <t>Claims</t>
        </is>
      </c>
    </row>
    <row r="6">
      <c r="B6" s="20" t="n">
        <v>2008</v>
      </c>
      <c r="C6" s="20" t="n">
        <v>1</v>
      </c>
      <c r="D6" s="18">
        <f>B6&amp;"-"&amp;TEXT(C6,"00")</f>
        <v/>
      </c>
      <c r="E6" s="13">
        <f>SUMIFS(Data_Monthly!$F$2:$F$76,Data_Monthly!$A$2:$A$76,$B6,Data_Monthly!$B$2:$B$76,$C6,Data_Monthly!$C$2:$C$76,"IP")</f>
        <v/>
      </c>
      <c r="F6" s="13">
        <f>SUMIFS(Data_Monthly!$F$2:$F$76,Data_Monthly!$A$2:$A$76,$B6,Data_Monthly!$B$2:$B$76,$C6,Data_Monthly!$C$2:$C$76,"OP")</f>
        <v/>
      </c>
      <c r="G6" s="13">
        <f>E6+F6</f>
        <v/>
      </c>
      <c r="H6" s="12">
        <f>SUMIFS(Data_Monthly!$D$2:$D$76,Data_Monthly!$A$2:$A$76,$B6,Data_Monthly!$B$2:$B$76,$C6)</f>
        <v/>
      </c>
    </row>
    <row r="7">
      <c r="B7" s="20" t="n">
        <v>2008</v>
      </c>
      <c r="C7" s="20" t="n">
        <v>2</v>
      </c>
      <c r="D7" s="18">
        <f>B7&amp;"-"&amp;TEXT(C7,"00")</f>
        <v/>
      </c>
      <c r="E7" s="13">
        <f>SUMIFS(Data_Monthly!$F$2:$F$76,Data_Monthly!$A$2:$A$76,$B7,Data_Monthly!$B$2:$B$76,$C7,Data_Monthly!$C$2:$C$76,"IP")</f>
        <v/>
      </c>
      <c r="F7" s="13">
        <f>SUMIFS(Data_Monthly!$F$2:$F$76,Data_Monthly!$A$2:$A$76,$B7,Data_Monthly!$B$2:$B$76,$C7,Data_Monthly!$C$2:$C$76,"OP")</f>
        <v/>
      </c>
      <c r="G7" s="13">
        <f>E7+F7</f>
        <v/>
      </c>
      <c r="H7" s="12">
        <f>SUMIFS(Data_Monthly!$D$2:$D$76,Data_Monthly!$A$2:$A$76,$B7,Data_Monthly!$B$2:$B$76,$C7)</f>
        <v/>
      </c>
    </row>
    <row r="8">
      <c r="B8" s="20" t="n">
        <v>2008</v>
      </c>
      <c r="C8" s="20" t="n">
        <v>3</v>
      </c>
      <c r="D8" s="18">
        <f>B8&amp;"-"&amp;TEXT(C8,"00")</f>
        <v/>
      </c>
      <c r="E8" s="13">
        <f>SUMIFS(Data_Monthly!$F$2:$F$76,Data_Monthly!$A$2:$A$76,$B8,Data_Monthly!$B$2:$B$76,$C8,Data_Monthly!$C$2:$C$76,"IP")</f>
        <v/>
      </c>
      <c r="F8" s="13">
        <f>SUMIFS(Data_Monthly!$F$2:$F$76,Data_Monthly!$A$2:$A$76,$B8,Data_Monthly!$B$2:$B$76,$C8,Data_Monthly!$C$2:$C$76,"OP")</f>
        <v/>
      </c>
      <c r="G8" s="13">
        <f>E8+F8</f>
        <v/>
      </c>
      <c r="H8" s="12">
        <f>SUMIFS(Data_Monthly!$D$2:$D$76,Data_Monthly!$A$2:$A$76,$B8,Data_Monthly!$B$2:$B$76,$C8)</f>
        <v/>
      </c>
    </row>
    <row r="9">
      <c r="B9" s="20" t="n">
        <v>2008</v>
      </c>
      <c r="C9" s="20" t="n">
        <v>4</v>
      </c>
      <c r="D9" s="18">
        <f>B9&amp;"-"&amp;TEXT(C9,"00")</f>
        <v/>
      </c>
      <c r="E9" s="13">
        <f>SUMIFS(Data_Monthly!$F$2:$F$76,Data_Monthly!$A$2:$A$76,$B9,Data_Monthly!$B$2:$B$76,$C9,Data_Monthly!$C$2:$C$76,"IP")</f>
        <v/>
      </c>
      <c r="F9" s="13">
        <f>SUMIFS(Data_Monthly!$F$2:$F$76,Data_Monthly!$A$2:$A$76,$B9,Data_Monthly!$B$2:$B$76,$C9,Data_Monthly!$C$2:$C$76,"OP")</f>
        <v/>
      </c>
      <c r="G9" s="13">
        <f>E9+F9</f>
        <v/>
      </c>
      <c r="H9" s="12">
        <f>SUMIFS(Data_Monthly!$D$2:$D$76,Data_Monthly!$A$2:$A$76,$B9,Data_Monthly!$B$2:$B$76,$C9)</f>
        <v/>
      </c>
    </row>
    <row r="10">
      <c r="B10" s="20" t="n">
        <v>2008</v>
      </c>
      <c r="C10" s="20" t="n">
        <v>5</v>
      </c>
      <c r="D10" s="18">
        <f>B10&amp;"-"&amp;TEXT(C10,"00")</f>
        <v/>
      </c>
      <c r="E10" s="13">
        <f>SUMIFS(Data_Monthly!$F$2:$F$76,Data_Monthly!$A$2:$A$76,$B10,Data_Monthly!$B$2:$B$76,$C10,Data_Monthly!$C$2:$C$76,"IP")</f>
        <v/>
      </c>
      <c r="F10" s="13">
        <f>SUMIFS(Data_Monthly!$F$2:$F$76,Data_Monthly!$A$2:$A$76,$B10,Data_Monthly!$B$2:$B$76,$C10,Data_Monthly!$C$2:$C$76,"OP")</f>
        <v/>
      </c>
      <c r="G10" s="13">
        <f>E10+F10</f>
        <v/>
      </c>
      <c r="H10" s="12">
        <f>SUMIFS(Data_Monthly!$D$2:$D$76,Data_Monthly!$A$2:$A$76,$B10,Data_Monthly!$B$2:$B$76,$C10)</f>
        <v/>
      </c>
    </row>
    <row r="11">
      <c r="B11" s="20" t="n">
        <v>2008</v>
      </c>
      <c r="C11" s="20" t="n">
        <v>6</v>
      </c>
      <c r="D11" s="18">
        <f>B11&amp;"-"&amp;TEXT(C11,"00")</f>
        <v/>
      </c>
      <c r="E11" s="13">
        <f>SUMIFS(Data_Monthly!$F$2:$F$76,Data_Monthly!$A$2:$A$76,$B11,Data_Monthly!$B$2:$B$76,$C11,Data_Monthly!$C$2:$C$76,"IP")</f>
        <v/>
      </c>
      <c r="F11" s="13">
        <f>SUMIFS(Data_Monthly!$F$2:$F$76,Data_Monthly!$A$2:$A$76,$B11,Data_Monthly!$B$2:$B$76,$C11,Data_Monthly!$C$2:$C$76,"OP")</f>
        <v/>
      </c>
      <c r="G11" s="13">
        <f>E11+F11</f>
        <v/>
      </c>
      <c r="H11" s="12">
        <f>SUMIFS(Data_Monthly!$D$2:$D$76,Data_Monthly!$A$2:$A$76,$B11,Data_Monthly!$B$2:$B$76,$C11)</f>
        <v/>
      </c>
    </row>
    <row r="12">
      <c r="B12" s="20" t="n">
        <v>2008</v>
      </c>
      <c r="C12" s="20" t="n">
        <v>7</v>
      </c>
      <c r="D12" s="18">
        <f>B12&amp;"-"&amp;TEXT(C12,"00")</f>
        <v/>
      </c>
      <c r="E12" s="13">
        <f>SUMIFS(Data_Monthly!$F$2:$F$76,Data_Monthly!$A$2:$A$76,$B12,Data_Monthly!$B$2:$B$76,$C12,Data_Monthly!$C$2:$C$76,"IP")</f>
        <v/>
      </c>
      <c r="F12" s="13">
        <f>SUMIFS(Data_Monthly!$F$2:$F$76,Data_Monthly!$A$2:$A$76,$B12,Data_Monthly!$B$2:$B$76,$C12,Data_Monthly!$C$2:$C$76,"OP")</f>
        <v/>
      </c>
      <c r="G12" s="13">
        <f>E12+F12</f>
        <v/>
      </c>
      <c r="H12" s="12">
        <f>SUMIFS(Data_Monthly!$D$2:$D$76,Data_Monthly!$A$2:$A$76,$B12,Data_Monthly!$B$2:$B$76,$C12)</f>
        <v/>
      </c>
    </row>
    <row r="13">
      <c r="B13" s="20" t="n">
        <v>2008</v>
      </c>
      <c r="C13" s="20" t="n">
        <v>8</v>
      </c>
      <c r="D13" s="18">
        <f>B13&amp;"-"&amp;TEXT(C13,"00")</f>
        <v/>
      </c>
      <c r="E13" s="13">
        <f>SUMIFS(Data_Monthly!$F$2:$F$76,Data_Monthly!$A$2:$A$76,$B13,Data_Monthly!$B$2:$B$76,$C13,Data_Monthly!$C$2:$C$76,"IP")</f>
        <v/>
      </c>
      <c r="F13" s="13">
        <f>SUMIFS(Data_Monthly!$F$2:$F$76,Data_Monthly!$A$2:$A$76,$B13,Data_Monthly!$B$2:$B$76,$C13,Data_Monthly!$C$2:$C$76,"OP")</f>
        <v/>
      </c>
      <c r="G13" s="13">
        <f>E13+F13</f>
        <v/>
      </c>
      <c r="H13" s="12">
        <f>SUMIFS(Data_Monthly!$D$2:$D$76,Data_Monthly!$A$2:$A$76,$B13,Data_Monthly!$B$2:$B$76,$C13)</f>
        <v/>
      </c>
    </row>
    <row r="14">
      <c r="B14" s="20" t="n">
        <v>2008</v>
      </c>
      <c r="C14" s="20" t="n">
        <v>9</v>
      </c>
      <c r="D14" s="18">
        <f>B14&amp;"-"&amp;TEXT(C14,"00")</f>
        <v/>
      </c>
      <c r="E14" s="13">
        <f>SUMIFS(Data_Monthly!$F$2:$F$76,Data_Monthly!$A$2:$A$76,$B14,Data_Monthly!$B$2:$B$76,$C14,Data_Monthly!$C$2:$C$76,"IP")</f>
        <v/>
      </c>
      <c r="F14" s="13">
        <f>SUMIFS(Data_Monthly!$F$2:$F$76,Data_Monthly!$A$2:$A$76,$B14,Data_Monthly!$B$2:$B$76,$C14,Data_Monthly!$C$2:$C$76,"OP")</f>
        <v/>
      </c>
      <c r="G14" s="13">
        <f>E14+F14</f>
        <v/>
      </c>
      <c r="H14" s="12">
        <f>SUMIFS(Data_Monthly!$D$2:$D$76,Data_Monthly!$A$2:$A$76,$B14,Data_Monthly!$B$2:$B$76,$C14)</f>
        <v/>
      </c>
    </row>
    <row r="15">
      <c r="B15" s="20" t="n">
        <v>2008</v>
      </c>
      <c r="C15" s="20" t="n">
        <v>10</v>
      </c>
      <c r="D15" s="18">
        <f>B15&amp;"-"&amp;TEXT(C15,"00")</f>
        <v/>
      </c>
      <c r="E15" s="13">
        <f>SUMIFS(Data_Monthly!$F$2:$F$76,Data_Monthly!$A$2:$A$76,$B15,Data_Monthly!$B$2:$B$76,$C15,Data_Monthly!$C$2:$C$76,"IP")</f>
        <v/>
      </c>
      <c r="F15" s="13">
        <f>SUMIFS(Data_Monthly!$F$2:$F$76,Data_Monthly!$A$2:$A$76,$B15,Data_Monthly!$B$2:$B$76,$C15,Data_Monthly!$C$2:$C$76,"OP")</f>
        <v/>
      </c>
      <c r="G15" s="13">
        <f>E15+F15</f>
        <v/>
      </c>
      <c r="H15" s="12">
        <f>SUMIFS(Data_Monthly!$D$2:$D$76,Data_Monthly!$A$2:$A$76,$B15,Data_Monthly!$B$2:$B$76,$C15)</f>
        <v/>
      </c>
    </row>
    <row r="16">
      <c r="B16" s="20" t="n">
        <v>2008</v>
      </c>
      <c r="C16" s="20" t="n">
        <v>11</v>
      </c>
      <c r="D16" s="18">
        <f>B16&amp;"-"&amp;TEXT(C16,"00")</f>
        <v/>
      </c>
      <c r="E16" s="13">
        <f>SUMIFS(Data_Monthly!$F$2:$F$76,Data_Monthly!$A$2:$A$76,$B16,Data_Monthly!$B$2:$B$76,$C16,Data_Monthly!$C$2:$C$76,"IP")</f>
        <v/>
      </c>
      <c r="F16" s="13">
        <f>SUMIFS(Data_Monthly!$F$2:$F$76,Data_Monthly!$A$2:$A$76,$B16,Data_Monthly!$B$2:$B$76,$C16,Data_Monthly!$C$2:$C$76,"OP")</f>
        <v/>
      </c>
      <c r="G16" s="13">
        <f>E16+F16</f>
        <v/>
      </c>
      <c r="H16" s="12">
        <f>SUMIFS(Data_Monthly!$D$2:$D$76,Data_Monthly!$A$2:$A$76,$B16,Data_Monthly!$B$2:$B$76,$C16)</f>
        <v/>
      </c>
    </row>
    <row r="17">
      <c r="B17" s="20" t="n">
        <v>2008</v>
      </c>
      <c r="C17" s="20" t="n">
        <v>12</v>
      </c>
      <c r="D17" s="18">
        <f>B17&amp;"-"&amp;TEXT(C17,"00")</f>
        <v/>
      </c>
      <c r="E17" s="13">
        <f>SUMIFS(Data_Monthly!$F$2:$F$76,Data_Monthly!$A$2:$A$76,$B17,Data_Monthly!$B$2:$B$76,$C17,Data_Monthly!$C$2:$C$76,"IP")</f>
        <v/>
      </c>
      <c r="F17" s="13">
        <f>SUMIFS(Data_Monthly!$F$2:$F$76,Data_Monthly!$A$2:$A$76,$B17,Data_Monthly!$B$2:$B$76,$C17,Data_Monthly!$C$2:$C$76,"OP")</f>
        <v/>
      </c>
      <c r="G17" s="13">
        <f>E17+F17</f>
        <v/>
      </c>
      <c r="H17" s="12">
        <f>SUMIFS(Data_Monthly!$D$2:$D$76,Data_Monthly!$A$2:$A$76,$B17,Data_Monthly!$B$2:$B$76,$C17)</f>
        <v/>
      </c>
    </row>
    <row r="18">
      <c r="B18" s="20" t="n">
        <v>2009</v>
      </c>
      <c r="C18" s="20" t="n">
        <v>1</v>
      </c>
      <c r="D18" s="18">
        <f>B18&amp;"-"&amp;TEXT(C18,"00")</f>
        <v/>
      </c>
      <c r="E18" s="13">
        <f>SUMIFS(Data_Monthly!$F$2:$F$76,Data_Monthly!$A$2:$A$76,$B18,Data_Monthly!$B$2:$B$76,$C18,Data_Monthly!$C$2:$C$76,"IP")</f>
        <v/>
      </c>
      <c r="F18" s="13">
        <f>SUMIFS(Data_Monthly!$F$2:$F$76,Data_Monthly!$A$2:$A$76,$B18,Data_Monthly!$B$2:$B$76,$C18,Data_Monthly!$C$2:$C$76,"OP")</f>
        <v/>
      </c>
      <c r="G18" s="13">
        <f>E18+F18</f>
        <v/>
      </c>
      <c r="H18" s="12">
        <f>SUMIFS(Data_Monthly!$D$2:$D$76,Data_Monthly!$A$2:$A$76,$B18,Data_Monthly!$B$2:$B$76,$C18)</f>
        <v/>
      </c>
    </row>
    <row r="19">
      <c r="B19" s="20" t="n">
        <v>2009</v>
      </c>
      <c r="C19" s="20" t="n">
        <v>2</v>
      </c>
      <c r="D19" s="18">
        <f>B19&amp;"-"&amp;TEXT(C19,"00")</f>
        <v/>
      </c>
      <c r="E19" s="13">
        <f>SUMIFS(Data_Monthly!$F$2:$F$76,Data_Monthly!$A$2:$A$76,$B19,Data_Monthly!$B$2:$B$76,$C19,Data_Monthly!$C$2:$C$76,"IP")</f>
        <v/>
      </c>
      <c r="F19" s="13">
        <f>SUMIFS(Data_Monthly!$F$2:$F$76,Data_Monthly!$A$2:$A$76,$B19,Data_Monthly!$B$2:$B$76,$C19,Data_Monthly!$C$2:$C$76,"OP")</f>
        <v/>
      </c>
      <c r="G19" s="13">
        <f>E19+F19</f>
        <v/>
      </c>
      <c r="H19" s="12">
        <f>SUMIFS(Data_Monthly!$D$2:$D$76,Data_Monthly!$A$2:$A$76,$B19,Data_Monthly!$B$2:$B$76,$C19)</f>
        <v/>
      </c>
    </row>
    <row r="20">
      <c r="B20" s="20" t="n">
        <v>2009</v>
      </c>
      <c r="C20" s="20" t="n">
        <v>3</v>
      </c>
      <c r="D20" s="18">
        <f>B20&amp;"-"&amp;TEXT(C20,"00")</f>
        <v/>
      </c>
      <c r="E20" s="13">
        <f>SUMIFS(Data_Monthly!$F$2:$F$76,Data_Monthly!$A$2:$A$76,$B20,Data_Monthly!$B$2:$B$76,$C20,Data_Monthly!$C$2:$C$76,"IP")</f>
        <v/>
      </c>
      <c r="F20" s="13">
        <f>SUMIFS(Data_Monthly!$F$2:$F$76,Data_Monthly!$A$2:$A$76,$B20,Data_Monthly!$B$2:$B$76,$C20,Data_Monthly!$C$2:$C$76,"OP")</f>
        <v/>
      </c>
      <c r="G20" s="13">
        <f>E20+F20</f>
        <v/>
      </c>
      <c r="H20" s="12">
        <f>SUMIFS(Data_Monthly!$D$2:$D$76,Data_Monthly!$A$2:$A$76,$B20,Data_Monthly!$B$2:$B$76,$C20)</f>
        <v/>
      </c>
    </row>
    <row r="21">
      <c r="B21" s="20" t="n">
        <v>2009</v>
      </c>
      <c r="C21" s="20" t="n">
        <v>4</v>
      </c>
      <c r="D21" s="18">
        <f>B21&amp;"-"&amp;TEXT(C21,"00")</f>
        <v/>
      </c>
      <c r="E21" s="13">
        <f>SUMIFS(Data_Monthly!$F$2:$F$76,Data_Monthly!$A$2:$A$76,$B21,Data_Monthly!$B$2:$B$76,$C21,Data_Monthly!$C$2:$C$76,"IP")</f>
        <v/>
      </c>
      <c r="F21" s="13">
        <f>SUMIFS(Data_Monthly!$F$2:$F$76,Data_Monthly!$A$2:$A$76,$B21,Data_Monthly!$B$2:$B$76,$C21,Data_Monthly!$C$2:$C$76,"OP")</f>
        <v/>
      </c>
      <c r="G21" s="13">
        <f>E21+F21</f>
        <v/>
      </c>
      <c r="H21" s="12">
        <f>SUMIFS(Data_Monthly!$D$2:$D$76,Data_Monthly!$A$2:$A$76,$B21,Data_Monthly!$B$2:$B$76,$C21)</f>
        <v/>
      </c>
    </row>
    <row r="22">
      <c r="B22" s="20" t="n">
        <v>2009</v>
      </c>
      <c r="C22" s="20" t="n">
        <v>5</v>
      </c>
      <c r="D22" s="18">
        <f>B22&amp;"-"&amp;TEXT(C22,"00")</f>
        <v/>
      </c>
      <c r="E22" s="13">
        <f>SUMIFS(Data_Monthly!$F$2:$F$76,Data_Monthly!$A$2:$A$76,$B22,Data_Monthly!$B$2:$B$76,$C22,Data_Monthly!$C$2:$C$76,"IP")</f>
        <v/>
      </c>
      <c r="F22" s="13">
        <f>SUMIFS(Data_Monthly!$F$2:$F$76,Data_Monthly!$A$2:$A$76,$B22,Data_Monthly!$B$2:$B$76,$C22,Data_Monthly!$C$2:$C$76,"OP")</f>
        <v/>
      </c>
      <c r="G22" s="13">
        <f>E22+F22</f>
        <v/>
      </c>
      <c r="H22" s="12">
        <f>SUMIFS(Data_Monthly!$D$2:$D$76,Data_Monthly!$A$2:$A$76,$B22,Data_Monthly!$B$2:$B$76,$C22)</f>
        <v/>
      </c>
    </row>
    <row r="23">
      <c r="B23" s="20" t="n">
        <v>2009</v>
      </c>
      <c r="C23" s="20" t="n">
        <v>6</v>
      </c>
      <c r="D23" s="18">
        <f>B23&amp;"-"&amp;TEXT(C23,"00")</f>
        <v/>
      </c>
      <c r="E23" s="13">
        <f>SUMIFS(Data_Monthly!$F$2:$F$76,Data_Monthly!$A$2:$A$76,$B23,Data_Monthly!$B$2:$B$76,$C23,Data_Monthly!$C$2:$C$76,"IP")</f>
        <v/>
      </c>
      <c r="F23" s="13">
        <f>SUMIFS(Data_Monthly!$F$2:$F$76,Data_Monthly!$A$2:$A$76,$B23,Data_Monthly!$B$2:$B$76,$C23,Data_Monthly!$C$2:$C$76,"OP")</f>
        <v/>
      </c>
      <c r="G23" s="13">
        <f>E23+F23</f>
        <v/>
      </c>
      <c r="H23" s="12">
        <f>SUMIFS(Data_Monthly!$D$2:$D$76,Data_Monthly!$A$2:$A$76,$B23,Data_Monthly!$B$2:$B$76,$C23)</f>
        <v/>
      </c>
    </row>
    <row r="24">
      <c r="B24" s="20" t="n">
        <v>2009</v>
      </c>
      <c r="C24" s="20" t="n">
        <v>7</v>
      </c>
      <c r="D24" s="18">
        <f>B24&amp;"-"&amp;TEXT(C24,"00")</f>
        <v/>
      </c>
      <c r="E24" s="13">
        <f>SUMIFS(Data_Monthly!$F$2:$F$76,Data_Monthly!$A$2:$A$76,$B24,Data_Monthly!$B$2:$B$76,$C24,Data_Monthly!$C$2:$C$76,"IP")</f>
        <v/>
      </c>
      <c r="F24" s="13">
        <f>SUMIFS(Data_Monthly!$F$2:$F$76,Data_Monthly!$A$2:$A$76,$B24,Data_Monthly!$B$2:$B$76,$C24,Data_Monthly!$C$2:$C$76,"OP")</f>
        <v/>
      </c>
      <c r="G24" s="13">
        <f>E24+F24</f>
        <v/>
      </c>
      <c r="H24" s="12">
        <f>SUMIFS(Data_Monthly!$D$2:$D$76,Data_Monthly!$A$2:$A$76,$B24,Data_Monthly!$B$2:$B$76,$C24)</f>
        <v/>
      </c>
    </row>
    <row r="25">
      <c r="B25" s="20" t="n">
        <v>2009</v>
      </c>
      <c r="C25" s="20" t="n">
        <v>8</v>
      </c>
      <c r="D25" s="18">
        <f>B25&amp;"-"&amp;TEXT(C25,"00")</f>
        <v/>
      </c>
      <c r="E25" s="13">
        <f>SUMIFS(Data_Monthly!$F$2:$F$76,Data_Monthly!$A$2:$A$76,$B25,Data_Monthly!$B$2:$B$76,$C25,Data_Monthly!$C$2:$C$76,"IP")</f>
        <v/>
      </c>
      <c r="F25" s="13">
        <f>SUMIFS(Data_Monthly!$F$2:$F$76,Data_Monthly!$A$2:$A$76,$B25,Data_Monthly!$B$2:$B$76,$C25,Data_Monthly!$C$2:$C$76,"OP")</f>
        <v/>
      </c>
      <c r="G25" s="13">
        <f>E25+F25</f>
        <v/>
      </c>
      <c r="H25" s="12">
        <f>SUMIFS(Data_Monthly!$D$2:$D$76,Data_Monthly!$A$2:$A$76,$B25,Data_Monthly!$B$2:$B$76,$C25)</f>
        <v/>
      </c>
    </row>
    <row r="26">
      <c r="B26" s="20" t="n">
        <v>2009</v>
      </c>
      <c r="C26" s="20" t="n">
        <v>9</v>
      </c>
      <c r="D26" s="18">
        <f>B26&amp;"-"&amp;TEXT(C26,"00")</f>
        <v/>
      </c>
      <c r="E26" s="13">
        <f>SUMIFS(Data_Monthly!$F$2:$F$76,Data_Monthly!$A$2:$A$76,$B26,Data_Monthly!$B$2:$B$76,$C26,Data_Monthly!$C$2:$C$76,"IP")</f>
        <v/>
      </c>
      <c r="F26" s="13">
        <f>SUMIFS(Data_Monthly!$F$2:$F$76,Data_Monthly!$A$2:$A$76,$B26,Data_Monthly!$B$2:$B$76,$C26,Data_Monthly!$C$2:$C$76,"OP")</f>
        <v/>
      </c>
      <c r="G26" s="13">
        <f>E26+F26</f>
        <v/>
      </c>
      <c r="H26" s="12">
        <f>SUMIFS(Data_Monthly!$D$2:$D$76,Data_Monthly!$A$2:$A$76,$B26,Data_Monthly!$B$2:$B$76,$C26)</f>
        <v/>
      </c>
    </row>
    <row r="27">
      <c r="B27" s="20" t="n">
        <v>2009</v>
      </c>
      <c r="C27" s="20" t="n">
        <v>10</v>
      </c>
      <c r="D27" s="18">
        <f>B27&amp;"-"&amp;TEXT(C27,"00")</f>
        <v/>
      </c>
      <c r="E27" s="13">
        <f>SUMIFS(Data_Monthly!$F$2:$F$76,Data_Monthly!$A$2:$A$76,$B27,Data_Monthly!$B$2:$B$76,$C27,Data_Monthly!$C$2:$C$76,"IP")</f>
        <v/>
      </c>
      <c r="F27" s="13">
        <f>SUMIFS(Data_Monthly!$F$2:$F$76,Data_Monthly!$A$2:$A$76,$B27,Data_Monthly!$B$2:$B$76,$C27,Data_Monthly!$C$2:$C$76,"OP")</f>
        <v/>
      </c>
      <c r="G27" s="13">
        <f>E27+F27</f>
        <v/>
      </c>
      <c r="H27" s="12">
        <f>SUMIFS(Data_Monthly!$D$2:$D$76,Data_Monthly!$A$2:$A$76,$B27,Data_Monthly!$B$2:$B$76,$C27)</f>
        <v/>
      </c>
    </row>
    <row r="28">
      <c r="B28" s="20" t="n">
        <v>2009</v>
      </c>
      <c r="C28" s="20" t="n">
        <v>11</v>
      </c>
      <c r="D28" s="18">
        <f>B28&amp;"-"&amp;TEXT(C28,"00")</f>
        <v/>
      </c>
      <c r="E28" s="13">
        <f>SUMIFS(Data_Monthly!$F$2:$F$76,Data_Monthly!$A$2:$A$76,$B28,Data_Monthly!$B$2:$B$76,$C28,Data_Monthly!$C$2:$C$76,"IP")</f>
        <v/>
      </c>
      <c r="F28" s="13">
        <f>SUMIFS(Data_Monthly!$F$2:$F$76,Data_Monthly!$A$2:$A$76,$B28,Data_Monthly!$B$2:$B$76,$C28,Data_Monthly!$C$2:$C$76,"OP")</f>
        <v/>
      </c>
      <c r="G28" s="13">
        <f>E28+F28</f>
        <v/>
      </c>
      <c r="H28" s="12">
        <f>SUMIFS(Data_Monthly!$D$2:$D$76,Data_Monthly!$A$2:$A$76,$B28,Data_Monthly!$B$2:$B$76,$C28)</f>
        <v/>
      </c>
    </row>
    <row r="29">
      <c r="B29" s="20" t="n">
        <v>2009</v>
      </c>
      <c r="C29" s="20" t="n">
        <v>12</v>
      </c>
      <c r="D29" s="18">
        <f>B29&amp;"-"&amp;TEXT(C29,"00")</f>
        <v/>
      </c>
      <c r="E29" s="13">
        <f>SUMIFS(Data_Monthly!$F$2:$F$76,Data_Monthly!$A$2:$A$76,$B29,Data_Monthly!$B$2:$B$76,$C29,Data_Monthly!$C$2:$C$76,"IP")</f>
        <v/>
      </c>
      <c r="F29" s="13">
        <f>SUMIFS(Data_Monthly!$F$2:$F$76,Data_Monthly!$A$2:$A$76,$B29,Data_Monthly!$B$2:$B$76,$C29,Data_Monthly!$C$2:$C$76,"OP")</f>
        <v/>
      </c>
      <c r="G29" s="13">
        <f>E29+F29</f>
        <v/>
      </c>
      <c r="H29" s="12">
        <f>SUMIFS(Data_Monthly!$D$2:$D$76,Data_Monthly!$A$2:$A$76,$B29,Data_Monthly!$B$2:$B$76,$C29)</f>
        <v/>
      </c>
    </row>
    <row r="30">
      <c r="B30" s="20" t="n">
        <v>2010</v>
      </c>
      <c r="C30" s="20" t="n">
        <v>1</v>
      </c>
      <c r="D30" s="18">
        <f>B30&amp;"-"&amp;TEXT(C30,"00")</f>
        <v/>
      </c>
      <c r="E30" s="13">
        <f>SUMIFS(Data_Monthly!$F$2:$F$76,Data_Monthly!$A$2:$A$76,$B30,Data_Monthly!$B$2:$B$76,$C30,Data_Monthly!$C$2:$C$76,"IP")</f>
        <v/>
      </c>
      <c r="F30" s="13">
        <f>SUMIFS(Data_Monthly!$F$2:$F$76,Data_Monthly!$A$2:$A$76,$B30,Data_Monthly!$B$2:$B$76,$C30,Data_Monthly!$C$2:$C$76,"OP")</f>
        <v/>
      </c>
      <c r="G30" s="13">
        <f>E30+F30</f>
        <v/>
      </c>
      <c r="H30" s="12">
        <f>SUMIFS(Data_Monthly!$D$2:$D$76,Data_Monthly!$A$2:$A$76,$B30,Data_Monthly!$B$2:$B$76,$C30)</f>
        <v/>
      </c>
    </row>
    <row r="31">
      <c r="B31" s="20" t="n">
        <v>2010</v>
      </c>
      <c r="C31" s="20" t="n">
        <v>2</v>
      </c>
      <c r="D31" s="18">
        <f>B31&amp;"-"&amp;TEXT(C31,"00")</f>
        <v/>
      </c>
      <c r="E31" s="13">
        <f>SUMIFS(Data_Monthly!$F$2:$F$76,Data_Monthly!$A$2:$A$76,$B31,Data_Monthly!$B$2:$B$76,$C31,Data_Monthly!$C$2:$C$76,"IP")</f>
        <v/>
      </c>
      <c r="F31" s="13">
        <f>SUMIFS(Data_Monthly!$F$2:$F$76,Data_Monthly!$A$2:$A$76,$B31,Data_Monthly!$B$2:$B$76,$C31,Data_Monthly!$C$2:$C$76,"OP")</f>
        <v/>
      </c>
      <c r="G31" s="13">
        <f>E31+F31</f>
        <v/>
      </c>
      <c r="H31" s="12">
        <f>SUMIFS(Data_Monthly!$D$2:$D$76,Data_Monthly!$A$2:$A$76,$B31,Data_Monthly!$B$2:$B$76,$C31)</f>
        <v/>
      </c>
    </row>
    <row r="32">
      <c r="B32" s="20" t="n">
        <v>2010</v>
      </c>
      <c r="C32" s="20" t="n">
        <v>3</v>
      </c>
      <c r="D32" s="18">
        <f>B32&amp;"-"&amp;TEXT(C32,"00")</f>
        <v/>
      </c>
      <c r="E32" s="13">
        <f>SUMIFS(Data_Monthly!$F$2:$F$76,Data_Monthly!$A$2:$A$76,$B32,Data_Monthly!$B$2:$B$76,$C32,Data_Monthly!$C$2:$C$76,"IP")</f>
        <v/>
      </c>
      <c r="F32" s="13">
        <f>SUMIFS(Data_Monthly!$F$2:$F$76,Data_Monthly!$A$2:$A$76,$B32,Data_Monthly!$B$2:$B$76,$C32,Data_Monthly!$C$2:$C$76,"OP")</f>
        <v/>
      </c>
      <c r="G32" s="13">
        <f>E32+F32</f>
        <v/>
      </c>
      <c r="H32" s="12">
        <f>SUMIFS(Data_Monthly!$D$2:$D$76,Data_Monthly!$A$2:$A$76,$B32,Data_Monthly!$B$2:$B$76,$C32)</f>
        <v/>
      </c>
    </row>
    <row r="33">
      <c r="B33" s="20" t="n">
        <v>2010</v>
      </c>
      <c r="C33" s="20" t="n">
        <v>4</v>
      </c>
      <c r="D33" s="18">
        <f>B33&amp;"-"&amp;TEXT(C33,"00")</f>
        <v/>
      </c>
      <c r="E33" s="13">
        <f>SUMIFS(Data_Monthly!$F$2:$F$76,Data_Monthly!$A$2:$A$76,$B33,Data_Monthly!$B$2:$B$76,$C33,Data_Monthly!$C$2:$C$76,"IP")</f>
        <v/>
      </c>
      <c r="F33" s="13">
        <f>SUMIFS(Data_Monthly!$F$2:$F$76,Data_Monthly!$A$2:$A$76,$B33,Data_Monthly!$B$2:$B$76,$C33,Data_Monthly!$C$2:$C$76,"OP")</f>
        <v/>
      </c>
      <c r="G33" s="13">
        <f>E33+F33</f>
        <v/>
      </c>
      <c r="H33" s="12">
        <f>SUMIFS(Data_Monthly!$D$2:$D$76,Data_Monthly!$A$2:$A$76,$B33,Data_Monthly!$B$2:$B$76,$C33)</f>
        <v/>
      </c>
    </row>
    <row r="34">
      <c r="B34" s="20" t="n">
        <v>2010</v>
      </c>
      <c r="C34" s="20" t="n">
        <v>5</v>
      </c>
      <c r="D34" s="18">
        <f>B34&amp;"-"&amp;TEXT(C34,"00")</f>
        <v/>
      </c>
      <c r="E34" s="13">
        <f>SUMIFS(Data_Monthly!$F$2:$F$76,Data_Monthly!$A$2:$A$76,$B34,Data_Monthly!$B$2:$B$76,$C34,Data_Monthly!$C$2:$C$76,"IP")</f>
        <v/>
      </c>
      <c r="F34" s="13">
        <f>SUMIFS(Data_Monthly!$F$2:$F$76,Data_Monthly!$A$2:$A$76,$B34,Data_Monthly!$B$2:$B$76,$C34,Data_Monthly!$C$2:$C$76,"OP")</f>
        <v/>
      </c>
      <c r="G34" s="13">
        <f>E34+F34</f>
        <v/>
      </c>
      <c r="H34" s="12">
        <f>SUMIFS(Data_Monthly!$D$2:$D$76,Data_Monthly!$A$2:$A$76,$B34,Data_Monthly!$B$2:$B$76,$C34)</f>
        <v/>
      </c>
    </row>
    <row r="35">
      <c r="B35" s="20" t="n">
        <v>2010</v>
      </c>
      <c r="C35" s="20" t="n">
        <v>6</v>
      </c>
      <c r="D35" s="18">
        <f>B35&amp;"-"&amp;TEXT(C35,"00")</f>
        <v/>
      </c>
      <c r="E35" s="13">
        <f>SUMIFS(Data_Monthly!$F$2:$F$76,Data_Monthly!$A$2:$A$76,$B35,Data_Monthly!$B$2:$B$76,$C35,Data_Monthly!$C$2:$C$76,"IP")</f>
        <v/>
      </c>
      <c r="F35" s="13">
        <f>SUMIFS(Data_Monthly!$F$2:$F$76,Data_Monthly!$A$2:$A$76,$B35,Data_Monthly!$B$2:$B$76,$C35,Data_Monthly!$C$2:$C$76,"OP")</f>
        <v/>
      </c>
      <c r="G35" s="13">
        <f>E35+F35</f>
        <v/>
      </c>
      <c r="H35" s="12">
        <f>SUMIFS(Data_Monthly!$D$2:$D$76,Data_Monthly!$A$2:$A$76,$B35,Data_Monthly!$B$2:$B$76,$C35)</f>
        <v/>
      </c>
    </row>
    <row r="36">
      <c r="B36" s="20" t="n">
        <v>2010</v>
      </c>
      <c r="C36" s="20" t="n">
        <v>7</v>
      </c>
      <c r="D36" s="18">
        <f>B36&amp;"-"&amp;TEXT(C36,"00")</f>
        <v/>
      </c>
      <c r="E36" s="13">
        <f>SUMIFS(Data_Monthly!$F$2:$F$76,Data_Monthly!$A$2:$A$76,$B36,Data_Monthly!$B$2:$B$76,$C36,Data_Monthly!$C$2:$C$76,"IP")</f>
        <v/>
      </c>
      <c r="F36" s="13">
        <f>SUMIFS(Data_Monthly!$F$2:$F$76,Data_Monthly!$A$2:$A$76,$B36,Data_Monthly!$B$2:$B$76,$C36,Data_Monthly!$C$2:$C$76,"OP")</f>
        <v/>
      </c>
      <c r="G36" s="13">
        <f>E36+F36</f>
        <v/>
      </c>
      <c r="H36" s="12">
        <f>SUMIFS(Data_Monthly!$D$2:$D$76,Data_Monthly!$A$2:$A$76,$B36,Data_Monthly!$B$2:$B$76,$C36)</f>
        <v/>
      </c>
    </row>
    <row r="37">
      <c r="B37" s="20" t="n">
        <v>2010</v>
      </c>
      <c r="C37" s="20" t="n">
        <v>8</v>
      </c>
      <c r="D37" s="18">
        <f>B37&amp;"-"&amp;TEXT(C37,"00")</f>
        <v/>
      </c>
      <c r="E37" s="13">
        <f>SUMIFS(Data_Monthly!$F$2:$F$76,Data_Monthly!$A$2:$A$76,$B37,Data_Monthly!$B$2:$B$76,$C37,Data_Monthly!$C$2:$C$76,"IP")</f>
        <v/>
      </c>
      <c r="F37" s="13">
        <f>SUMIFS(Data_Monthly!$F$2:$F$76,Data_Monthly!$A$2:$A$76,$B37,Data_Monthly!$B$2:$B$76,$C37,Data_Monthly!$C$2:$C$76,"OP")</f>
        <v/>
      </c>
      <c r="G37" s="13">
        <f>E37+F37</f>
        <v/>
      </c>
      <c r="H37" s="12">
        <f>SUMIFS(Data_Monthly!$D$2:$D$76,Data_Monthly!$A$2:$A$76,$B37,Data_Monthly!$B$2:$B$76,$C37)</f>
        <v/>
      </c>
    </row>
    <row r="38">
      <c r="B38" s="20" t="n">
        <v>2010</v>
      </c>
      <c r="C38" s="20" t="n">
        <v>9</v>
      </c>
      <c r="D38" s="18">
        <f>B38&amp;"-"&amp;TEXT(C38,"00")</f>
        <v/>
      </c>
      <c r="E38" s="13">
        <f>SUMIFS(Data_Monthly!$F$2:$F$76,Data_Monthly!$A$2:$A$76,$B38,Data_Monthly!$B$2:$B$76,$C38,Data_Monthly!$C$2:$C$76,"IP")</f>
        <v/>
      </c>
      <c r="F38" s="13">
        <f>SUMIFS(Data_Monthly!$F$2:$F$76,Data_Monthly!$A$2:$A$76,$B38,Data_Monthly!$B$2:$B$76,$C38,Data_Monthly!$C$2:$C$76,"OP")</f>
        <v/>
      </c>
      <c r="G38" s="13">
        <f>E38+F38</f>
        <v/>
      </c>
      <c r="H38" s="12">
        <f>SUMIFS(Data_Monthly!$D$2:$D$76,Data_Monthly!$A$2:$A$76,$B38,Data_Monthly!$B$2:$B$76,$C38)</f>
        <v/>
      </c>
    </row>
    <row r="39">
      <c r="B39" s="20" t="n">
        <v>2010</v>
      </c>
      <c r="C39" s="20" t="n">
        <v>10</v>
      </c>
      <c r="D39" s="18">
        <f>B39&amp;"-"&amp;TEXT(C39,"00")</f>
        <v/>
      </c>
      <c r="E39" s="13">
        <f>SUMIFS(Data_Monthly!$F$2:$F$76,Data_Monthly!$A$2:$A$76,$B39,Data_Monthly!$B$2:$B$76,$C39,Data_Monthly!$C$2:$C$76,"IP")</f>
        <v/>
      </c>
      <c r="F39" s="13">
        <f>SUMIFS(Data_Monthly!$F$2:$F$76,Data_Monthly!$A$2:$A$76,$B39,Data_Monthly!$B$2:$B$76,$C39,Data_Monthly!$C$2:$C$76,"OP")</f>
        <v/>
      </c>
      <c r="G39" s="13">
        <f>E39+F39</f>
        <v/>
      </c>
      <c r="H39" s="12">
        <f>SUMIFS(Data_Monthly!$D$2:$D$76,Data_Monthly!$A$2:$A$76,$B39,Data_Monthly!$B$2:$B$76,$C39)</f>
        <v/>
      </c>
    </row>
    <row r="40">
      <c r="B40" s="20" t="n">
        <v>2010</v>
      </c>
      <c r="C40" s="20" t="n">
        <v>11</v>
      </c>
      <c r="D40" s="18">
        <f>B40&amp;"-"&amp;TEXT(C40,"00")</f>
        <v/>
      </c>
      <c r="E40" s="13">
        <f>SUMIFS(Data_Monthly!$F$2:$F$76,Data_Monthly!$A$2:$A$76,$B40,Data_Monthly!$B$2:$B$76,$C40,Data_Monthly!$C$2:$C$76,"IP")</f>
        <v/>
      </c>
      <c r="F40" s="13">
        <f>SUMIFS(Data_Monthly!$F$2:$F$76,Data_Monthly!$A$2:$A$76,$B40,Data_Monthly!$B$2:$B$76,$C40,Data_Monthly!$C$2:$C$76,"OP")</f>
        <v/>
      </c>
      <c r="G40" s="13">
        <f>E40+F40</f>
        <v/>
      </c>
      <c r="H40" s="12">
        <f>SUMIFS(Data_Monthly!$D$2:$D$76,Data_Monthly!$A$2:$A$76,$B40,Data_Monthly!$B$2:$B$76,$C40)</f>
        <v/>
      </c>
    </row>
    <row r="41">
      <c r="B41" s="20" t="n">
        <v>2010</v>
      </c>
      <c r="C41" s="20" t="n">
        <v>12</v>
      </c>
      <c r="D41" s="18">
        <f>B41&amp;"-"&amp;TEXT(C41,"00")</f>
        <v/>
      </c>
      <c r="E41" s="13">
        <f>SUMIFS(Data_Monthly!$F$2:$F$76,Data_Monthly!$A$2:$A$76,$B41,Data_Monthly!$B$2:$B$76,$C41,Data_Monthly!$C$2:$C$76,"IP")</f>
        <v/>
      </c>
      <c r="F41" s="13">
        <f>SUMIFS(Data_Monthly!$F$2:$F$76,Data_Monthly!$A$2:$A$76,$B41,Data_Monthly!$B$2:$B$76,$C41,Data_Monthly!$C$2:$C$76,"OP")</f>
        <v/>
      </c>
      <c r="G41" s="13">
        <f>E41+F41</f>
        <v/>
      </c>
      <c r="H41" s="12">
        <f>SUMIFS(Data_Monthly!$D$2:$D$76,Data_Monthly!$A$2:$A$76,$B41,Data_Monthly!$B$2:$B$76,$C41)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2" customWidth="1" min="5" max="5"/>
    <col width="20" customWidth="1" min="6" max="6"/>
    <col width="20" customWidth="1" min="7" max="7"/>
    <col width="12" customWidth="1" min="8" max="8"/>
  </cols>
  <sheetData>
    <row r="2">
      <c r="B2" s="1" t="inlineStr">
        <is>
          <t>Chronic conditions: prevalence and cost</t>
        </is>
      </c>
    </row>
    <row r="3">
      <c r="B3" s="2" t="inlineStr">
        <is>
          <t>Share of patients with each condition and their average annual Medicare reimbursement.</t>
        </is>
      </c>
    </row>
    <row r="5">
      <c r="B5" s="21" t="inlineStr">
        <is>
          <t>Coverage year (edit):</t>
        </is>
      </c>
      <c r="C5" s="22" t="n">
        <v>2010</v>
      </c>
      <c r="D5" s="8" t="inlineStr">
        <is>
          <t>Yellow cell is the only input on this sheet.</t>
        </is>
      </c>
    </row>
    <row r="7" ht="30" customHeight="1">
      <c r="B7" s="10" t="inlineStr">
        <is>
          <t>Condition</t>
        </is>
      </c>
      <c r="C7" s="10" t="inlineStr">
        <is>
          <t>Patients with condition</t>
        </is>
      </c>
      <c r="D7" s="10" t="inlineStr">
        <is>
          <t>Total patients</t>
        </is>
      </c>
      <c r="E7" s="10" t="inlineStr">
        <is>
          <t>Prevalence</t>
        </is>
      </c>
      <c r="F7" s="10" t="inlineStr">
        <is>
          <t>Avg reimbursement, with condition</t>
        </is>
      </c>
      <c r="G7" s="10" t="inlineStr">
        <is>
          <t>Avg reimbursement, without</t>
        </is>
      </c>
      <c r="H7" s="10" t="inlineStr">
        <is>
          <t>Cost multiple</t>
        </is>
      </c>
    </row>
    <row r="8">
      <c r="B8" s="18" t="inlineStr">
        <is>
          <t>Alzheimer's / dementia</t>
        </is>
      </c>
      <c r="C8" s="12">
        <f>SUMIFS(Data_Conditions!$D$2:$D$34,Data_Conditions!$A$2:$A$34,$C$5,Data_Conditions!$B$2:$B$34,$B8)</f>
        <v/>
      </c>
      <c r="D8" s="12">
        <f>SUMIFS(Data_Conditions!$C$2:$C$34,Data_Conditions!$A$2:$A$34,$C$5,Data_Conditions!$B$2:$B$34,$B8)</f>
        <v/>
      </c>
      <c r="E8" s="14">
        <f>IF(D8=0,0,C8/D8)</f>
        <v/>
      </c>
      <c r="F8" s="19">
        <f>IF(C8=0,0,SUMIFS(Data_Conditions!$E$2:$E$34,Data_Conditions!$A$2:$A$34,$C$5,Data_Conditions!$B$2:$B$34,$B8)/C8)</f>
        <v/>
      </c>
      <c r="G8" s="19">
        <f>IF(D8-C8=0,0,SUMIFS(Data_Conditions!$F$2:$F$34,Data_Conditions!$A$2:$A$34,$C$5,Data_Conditions!$B$2:$B$34,$B8)/(D8-C8))</f>
        <v/>
      </c>
      <c r="H8" s="23">
        <f>IF(G8=0,0,F8/G8)</f>
        <v/>
      </c>
    </row>
    <row r="9">
      <c r="B9" s="18" t="inlineStr">
        <is>
          <t>COPD</t>
        </is>
      </c>
      <c r="C9" s="12">
        <f>SUMIFS(Data_Conditions!$D$2:$D$34,Data_Conditions!$A$2:$A$34,$C$5,Data_Conditions!$B$2:$B$34,$B9)</f>
        <v/>
      </c>
      <c r="D9" s="12">
        <f>SUMIFS(Data_Conditions!$C$2:$C$34,Data_Conditions!$A$2:$A$34,$C$5,Data_Conditions!$B$2:$B$34,$B9)</f>
        <v/>
      </c>
      <c r="E9" s="14">
        <f>IF(D9=0,0,C9/D9)</f>
        <v/>
      </c>
      <c r="F9" s="19">
        <f>IF(C9=0,0,SUMIFS(Data_Conditions!$E$2:$E$34,Data_Conditions!$A$2:$A$34,$C$5,Data_Conditions!$B$2:$B$34,$B9)/C9)</f>
        <v/>
      </c>
      <c r="G9" s="19">
        <f>IF(D9-C9=0,0,SUMIFS(Data_Conditions!$F$2:$F$34,Data_Conditions!$A$2:$A$34,$C$5,Data_Conditions!$B$2:$B$34,$B9)/(D9-C9))</f>
        <v/>
      </c>
      <c r="H9" s="23">
        <f>IF(G9=0,0,F9/G9)</f>
        <v/>
      </c>
    </row>
    <row r="10">
      <c r="B10" s="18" t="inlineStr">
        <is>
          <t>Cancer</t>
        </is>
      </c>
      <c r="C10" s="12">
        <f>SUMIFS(Data_Conditions!$D$2:$D$34,Data_Conditions!$A$2:$A$34,$C$5,Data_Conditions!$B$2:$B$34,$B10)</f>
        <v/>
      </c>
      <c r="D10" s="12">
        <f>SUMIFS(Data_Conditions!$C$2:$C$34,Data_Conditions!$A$2:$A$34,$C$5,Data_Conditions!$B$2:$B$34,$B10)</f>
        <v/>
      </c>
      <c r="E10" s="14">
        <f>IF(D10=0,0,C10/D10)</f>
        <v/>
      </c>
      <c r="F10" s="19">
        <f>IF(C10=0,0,SUMIFS(Data_Conditions!$E$2:$E$34,Data_Conditions!$A$2:$A$34,$C$5,Data_Conditions!$B$2:$B$34,$B10)/C10)</f>
        <v/>
      </c>
      <c r="G10" s="19">
        <f>IF(D10-C10=0,0,SUMIFS(Data_Conditions!$F$2:$F$34,Data_Conditions!$A$2:$A$34,$C$5,Data_Conditions!$B$2:$B$34,$B10)/(D10-C10))</f>
        <v/>
      </c>
      <c r="H10" s="23">
        <f>IF(G10=0,0,F10/G10)</f>
        <v/>
      </c>
    </row>
    <row r="11">
      <c r="B11" s="18" t="inlineStr">
        <is>
          <t>Chronic kidney disease</t>
        </is>
      </c>
      <c r="C11" s="12">
        <f>SUMIFS(Data_Conditions!$D$2:$D$34,Data_Conditions!$A$2:$A$34,$C$5,Data_Conditions!$B$2:$B$34,$B11)</f>
        <v/>
      </c>
      <c r="D11" s="12">
        <f>SUMIFS(Data_Conditions!$C$2:$C$34,Data_Conditions!$A$2:$A$34,$C$5,Data_Conditions!$B$2:$B$34,$B11)</f>
        <v/>
      </c>
      <c r="E11" s="14">
        <f>IF(D11=0,0,C11/D11)</f>
        <v/>
      </c>
      <c r="F11" s="19">
        <f>IF(C11=0,0,SUMIFS(Data_Conditions!$E$2:$E$34,Data_Conditions!$A$2:$A$34,$C$5,Data_Conditions!$B$2:$B$34,$B11)/C11)</f>
        <v/>
      </c>
      <c r="G11" s="19">
        <f>IF(D11-C11=0,0,SUMIFS(Data_Conditions!$F$2:$F$34,Data_Conditions!$A$2:$A$34,$C$5,Data_Conditions!$B$2:$B$34,$B11)/(D11-C11))</f>
        <v/>
      </c>
      <c r="H11" s="23">
        <f>IF(G11=0,0,F11/G11)</f>
        <v/>
      </c>
    </row>
    <row r="12">
      <c r="B12" s="18" t="inlineStr">
        <is>
          <t>Depression</t>
        </is>
      </c>
      <c r="C12" s="12">
        <f>SUMIFS(Data_Conditions!$D$2:$D$34,Data_Conditions!$A$2:$A$34,$C$5,Data_Conditions!$B$2:$B$34,$B12)</f>
        <v/>
      </c>
      <c r="D12" s="12">
        <f>SUMIFS(Data_Conditions!$C$2:$C$34,Data_Conditions!$A$2:$A$34,$C$5,Data_Conditions!$B$2:$B$34,$B12)</f>
        <v/>
      </c>
      <c r="E12" s="14">
        <f>IF(D12=0,0,C12/D12)</f>
        <v/>
      </c>
      <c r="F12" s="19">
        <f>IF(C12=0,0,SUMIFS(Data_Conditions!$E$2:$E$34,Data_Conditions!$A$2:$A$34,$C$5,Data_Conditions!$B$2:$B$34,$B12)/C12)</f>
        <v/>
      </c>
      <c r="G12" s="19">
        <f>IF(D12-C12=0,0,SUMIFS(Data_Conditions!$F$2:$F$34,Data_Conditions!$A$2:$A$34,$C$5,Data_Conditions!$B$2:$B$34,$B12)/(D12-C12))</f>
        <v/>
      </c>
      <c r="H12" s="23">
        <f>IF(G12=0,0,F12/G12)</f>
        <v/>
      </c>
    </row>
    <row r="13">
      <c r="B13" s="18" t="inlineStr">
        <is>
          <t>Diabetes</t>
        </is>
      </c>
      <c r="C13" s="12">
        <f>SUMIFS(Data_Conditions!$D$2:$D$34,Data_Conditions!$A$2:$A$34,$C$5,Data_Conditions!$B$2:$B$34,$B13)</f>
        <v/>
      </c>
      <c r="D13" s="12">
        <f>SUMIFS(Data_Conditions!$C$2:$C$34,Data_Conditions!$A$2:$A$34,$C$5,Data_Conditions!$B$2:$B$34,$B13)</f>
        <v/>
      </c>
      <c r="E13" s="14">
        <f>IF(D13=0,0,C13/D13)</f>
        <v/>
      </c>
      <c r="F13" s="19">
        <f>IF(C13=0,0,SUMIFS(Data_Conditions!$E$2:$E$34,Data_Conditions!$A$2:$A$34,$C$5,Data_Conditions!$B$2:$B$34,$B13)/C13)</f>
        <v/>
      </c>
      <c r="G13" s="19">
        <f>IF(D13-C13=0,0,SUMIFS(Data_Conditions!$F$2:$F$34,Data_Conditions!$A$2:$A$34,$C$5,Data_Conditions!$B$2:$B$34,$B13)/(D13-C13))</f>
        <v/>
      </c>
      <c r="H13" s="23">
        <f>IF(G13=0,0,F13/G13)</f>
        <v/>
      </c>
    </row>
    <row r="14">
      <c r="B14" s="18" t="inlineStr">
        <is>
          <t>Heart failure</t>
        </is>
      </c>
      <c r="C14" s="12">
        <f>SUMIFS(Data_Conditions!$D$2:$D$34,Data_Conditions!$A$2:$A$34,$C$5,Data_Conditions!$B$2:$B$34,$B14)</f>
        <v/>
      </c>
      <c r="D14" s="12">
        <f>SUMIFS(Data_Conditions!$C$2:$C$34,Data_Conditions!$A$2:$A$34,$C$5,Data_Conditions!$B$2:$B$34,$B14)</f>
        <v/>
      </c>
      <c r="E14" s="14">
        <f>IF(D14=0,0,C14/D14)</f>
        <v/>
      </c>
      <c r="F14" s="19">
        <f>IF(C14=0,0,SUMIFS(Data_Conditions!$E$2:$E$34,Data_Conditions!$A$2:$A$34,$C$5,Data_Conditions!$B$2:$B$34,$B14)/C14)</f>
        <v/>
      </c>
      <c r="G14" s="19">
        <f>IF(D14-C14=0,0,SUMIFS(Data_Conditions!$F$2:$F$34,Data_Conditions!$A$2:$A$34,$C$5,Data_Conditions!$B$2:$B$34,$B14)/(D14-C14))</f>
        <v/>
      </c>
      <c r="H14" s="23">
        <f>IF(G14=0,0,F14/G14)</f>
        <v/>
      </c>
    </row>
    <row r="15">
      <c r="B15" s="18" t="inlineStr">
        <is>
          <t>Ischemic heart disease</t>
        </is>
      </c>
      <c r="C15" s="12">
        <f>SUMIFS(Data_Conditions!$D$2:$D$34,Data_Conditions!$A$2:$A$34,$C$5,Data_Conditions!$B$2:$B$34,$B15)</f>
        <v/>
      </c>
      <c r="D15" s="12">
        <f>SUMIFS(Data_Conditions!$C$2:$C$34,Data_Conditions!$A$2:$A$34,$C$5,Data_Conditions!$B$2:$B$34,$B15)</f>
        <v/>
      </c>
      <c r="E15" s="14">
        <f>IF(D15=0,0,C15/D15)</f>
        <v/>
      </c>
      <c r="F15" s="19">
        <f>IF(C15=0,0,SUMIFS(Data_Conditions!$E$2:$E$34,Data_Conditions!$A$2:$A$34,$C$5,Data_Conditions!$B$2:$B$34,$B15)/C15)</f>
        <v/>
      </c>
      <c r="G15" s="19">
        <f>IF(D15-C15=0,0,SUMIFS(Data_Conditions!$F$2:$F$34,Data_Conditions!$A$2:$A$34,$C$5,Data_Conditions!$B$2:$B$34,$B15)/(D15-C15))</f>
        <v/>
      </c>
      <c r="H15" s="23">
        <f>IF(G15=0,0,F15/G15)</f>
        <v/>
      </c>
    </row>
    <row r="16">
      <c r="B16" s="18" t="inlineStr">
        <is>
          <t>Osteoporosis</t>
        </is>
      </c>
      <c r="C16" s="12">
        <f>SUMIFS(Data_Conditions!$D$2:$D$34,Data_Conditions!$A$2:$A$34,$C$5,Data_Conditions!$B$2:$B$34,$B16)</f>
        <v/>
      </c>
      <c r="D16" s="12">
        <f>SUMIFS(Data_Conditions!$C$2:$C$34,Data_Conditions!$A$2:$A$34,$C$5,Data_Conditions!$B$2:$B$34,$B16)</f>
        <v/>
      </c>
      <c r="E16" s="14">
        <f>IF(D16=0,0,C16/D16)</f>
        <v/>
      </c>
      <c r="F16" s="19">
        <f>IF(C16=0,0,SUMIFS(Data_Conditions!$E$2:$E$34,Data_Conditions!$A$2:$A$34,$C$5,Data_Conditions!$B$2:$B$34,$B16)/C16)</f>
        <v/>
      </c>
      <c r="G16" s="19">
        <f>IF(D16-C16=0,0,SUMIFS(Data_Conditions!$F$2:$F$34,Data_Conditions!$A$2:$A$34,$C$5,Data_Conditions!$B$2:$B$34,$B16)/(D16-C16))</f>
        <v/>
      </c>
      <c r="H16" s="23">
        <f>IF(G16=0,0,F16/G16)</f>
        <v/>
      </c>
    </row>
    <row r="17">
      <c r="B17" s="18" t="inlineStr">
        <is>
          <t>Rheumatoid / osteo arthritis</t>
        </is>
      </c>
      <c r="C17" s="12">
        <f>SUMIFS(Data_Conditions!$D$2:$D$34,Data_Conditions!$A$2:$A$34,$C$5,Data_Conditions!$B$2:$B$34,$B17)</f>
        <v/>
      </c>
      <c r="D17" s="12">
        <f>SUMIFS(Data_Conditions!$C$2:$C$34,Data_Conditions!$A$2:$A$34,$C$5,Data_Conditions!$B$2:$B$34,$B17)</f>
        <v/>
      </c>
      <c r="E17" s="14">
        <f>IF(D17=0,0,C17/D17)</f>
        <v/>
      </c>
      <c r="F17" s="19">
        <f>IF(C17=0,0,SUMIFS(Data_Conditions!$E$2:$E$34,Data_Conditions!$A$2:$A$34,$C$5,Data_Conditions!$B$2:$B$34,$B17)/C17)</f>
        <v/>
      </c>
      <c r="G17" s="19">
        <f>IF(D17-C17=0,0,SUMIFS(Data_Conditions!$F$2:$F$34,Data_Conditions!$A$2:$A$34,$C$5,Data_Conditions!$B$2:$B$34,$B17)/(D17-C17))</f>
        <v/>
      </c>
      <c r="H17" s="23">
        <f>IF(G17=0,0,F17/G17)</f>
        <v/>
      </c>
    </row>
    <row r="18">
      <c r="B18" s="18" t="inlineStr">
        <is>
          <t>Stroke / TIA</t>
        </is>
      </c>
      <c r="C18" s="12">
        <f>SUMIFS(Data_Conditions!$D$2:$D$34,Data_Conditions!$A$2:$A$34,$C$5,Data_Conditions!$B$2:$B$34,$B18)</f>
        <v/>
      </c>
      <c r="D18" s="12">
        <f>SUMIFS(Data_Conditions!$C$2:$C$34,Data_Conditions!$A$2:$A$34,$C$5,Data_Conditions!$B$2:$B$34,$B18)</f>
        <v/>
      </c>
      <c r="E18" s="14">
        <f>IF(D18=0,0,C18/D18)</f>
        <v/>
      </c>
      <c r="F18" s="19">
        <f>IF(C18=0,0,SUMIFS(Data_Conditions!$E$2:$E$34,Data_Conditions!$A$2:$A$34,$C$5,Data_Conditions!$B$2:$B$34,$B18)/C18)</f>
        <v/>
      </c>
      <c r="G18" s="19">
        <f>IF(D18-C18=0,0,SUMIFS(Data_Conditions!$F$2:$F$34,Data_Conditions!$A$2:$A$34,$C$5,Data_Conditions!$B$2:$B$34,$B18)/(D18-C18))</f>
        <v/>
      </c>
      <c r="H18" s="23">
        <f>IF(G18=0,0,F18/G18)</f>
        <v/>
      </c>
    </row>
    <row r="20">
      <c r="B20" s="8" t="inlineStr">
        <is>
          <t>Reimbursement = annual Medicare inpatient + outpatient + carrier reimbursement from the beneficiary file. Cost multiple = average for patients with the condition / average for patients without it.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8" customWidth="1" min="8" max="8"/>
    <col width="12" customWidth="1" min="9" max="9"/>
  </cols>
  <sheetData>
    <row r="2">
      <c r="B2" s="1" t="inlineStr">
        <is>
          <t>Inpatient length of stay</t>
        </is>
      </c>
    </row>
    <row r="3">
      <c r="B3" s="2" t="inlineStr">
        <is>
          <t>Inpatient claims and payment by length-of-stay band.</t>
        </is>
      </c>
    </row>
    <row r="5" ht="30" customHeight="1">
      <c r="B5" s="10" t="inlineStr">
        <is>
          <t>Length of stay</t>
        </is>
      </c>
      <c r="C5" s="10" t="inlineStr">
        <is>
          <t>Claims 2008</t>
        </is>
      </c>
      <c r="D5" s="10" t="inlineStr">
        <is>
          <t>Claims 2009</t>
        </is>
      </c>
      <c r="E5" s="10" t="inlineStr">
        <is>
          <t>Claims 2010</t>
        </is>
      </c>
      <c r="F5" s="10" t="inlineStr">
        <is>
          <t>Claims 2008-2010</t>
        </is>
      </c>
      <c r="G5" s="10" t="inlineStr">
        <is>
          <t>Payment 2008-2010</t>
        </is>
      </c>
      <c r="H5" s="10" t="inlineStr">
        <is>
          <t>Average payment per stay</t>
        </is>
      </c>
      <c r="I5" s="10" t="inlineStr">
        <is>
          <t>Share of stays</t>
        </is>
      </c>
    </row>
    <row r="6">
      <c r="B6" s="18" t="inlineStr">
        <is>
          <t>0-1 days</t>
        </is>
      </c>
      <c r="C6" s="12">
        <f>SUMIFS(Data_LOS!$C$2:$C$21,Data_LOS!$A$2:$A$21,2008,Data_LOS!$B$2:$B$21,$B6)</f>
        <v/>
      </c>
      <c r="D6" s="12">
        <f>SUMIFS(Data_LOS!$C$2:$C$21,Data_LOS!$A$2:$A$21,2009,Data_LOS!$B$2:$B$21,$B6)</f>
        <v/>
      </c>
      <c r="E6" s="12">
        <f>SUMIFS(Data_LOS!$C$2:$C$21,Data_LOS!$A$2:$A$21,2010,Data_LOS!$B$2:$B$21,$B6)</f>
        <v/>
      </c>
      <c r="F6" s="12">
        <f>SUM(C6:E6)</f>
        <v/>
      </c>
      <c r="G6" s="13">
        <f>SUMIFS(Data_LOS!$D$2:$D$21,Data_LOS!$A$2:$A$21,"&gt;=2008",Data_LOS!$B$2:$B$21,$B6)</f>
        <v/>
      </c>
      <c r="H6" s="19">
        <f>IF(F6=0,0,G6/F6)</f>
        <v/>
      </c>
      <c r="I6" s="14">
        <f>IF(SUM($F$6:$F$10)=0,0,F6/SUM($F$6:$F$10))</f>
        <v/>
      </c>
    </row>
    <row r="7">
      <c r="B7" s="18" t="inlineStr">
        <is>
          <t>2-3 days</t>
        </is>
      </c>
      <c r="C7" s="12">
        <f>SUMIFS(Data_LOS!$C$2:$C$21,Data_LOS!$A$2:$A$21,2008,Data_LOS!$B$2:$B$21,$B7)</f>
        <v/>
      </c>
      <c r="D7" s="12">
        <f>SUMIFS(Data_LOS!$C$2:$C$21,Data_LOS!$A$2:$A$21,2009,Data_LOS!$B$2:$B$21,$B7)</f>
        <v/>
      </c>
      <c r="E7" s="12">
        <f>SUMIFS(Data_LOS!$C$2:$C$21,Data_LOS!$A$2:$A$21,2010,Data_LOS!$B$2:$B$21,$B7)</f>
        <v/>
      </c>
      <c r="F7" s="12">
        <f>SUM(C7:E7)</f>
        <v/>
      </c>
      <c r="G7" s="13">
        <f>SUMIFS(Data_LOS!$D$2:$D$21,Data_LOS!$A$2:$A$21,"&gt;=2008",Data_LOS!$B$2:$B$21,$B7)</f>
        <v/>
      </c>
      <c r="H7" s="19">
        <f>IF(F7=0,0,G7/F7)</f>
        <v/>
      </c>
      <c r="I7" s="14">
        <f>IF(SUM($F$6:$F$10)=0,0,F7/SUM($F$6:$F$10))</f>
        <v/>
      </c>
    </row>
    <row r="8">
      <c r="B8" s="18" t="inlineStr">
        <is>
          <t>4-7 days</t>
        </is>
      </c>
      <c r="C8" s="12">
        <f>SUMIFS(Data_LOS!$C$2:$C$21,Data_LOS!$A$2:$A$21,2008,Data_LOS!$B$2:$B$21,$B8)</f>
        <v/>
      </c>
      <c r="D8" s="12">
        <f>SUMIFS(Data_LOS!$C$2:$C$21,Data_LOS!$A$2:$A$21,2009,Data_LOS!$B$2:$B$21,$B8)</f>
        <v/>
      </c>
      <c r="E8" s="12">
        <f>SUMIFS(Data_LOS!$C$2:$C$21,Data_LOS!$A$2:$A$21,2010,Data_LOS!$B$2:$B$21,$B8)</f>
        <v/>
      </c>
      <c r="F8" s="12">
        <f>SUM(C8:E8)</f>
        <v/>
      </c>
      <c r="G8" s="13">
        <f>SUMIFS(Data_LOS!$D$2:$D$21,Data_LOS!$A$2:$A$21,"&gt;=2008",Data_LOS!$B$2:$B$21,$B8)</f>
        <v/>
      </c>
      <c r="H8" s="19">
        <f>IF(F8=0,0,G8/F8)</f>
        <v/>
      </c>
      <c r="I8" s="14">
        <f>IF(SUM($F$6:$F$10)=0,0,F8/SUM($F$6:$F$10))</f>
        <v/>
      </c>
    </row>
    <row r="9">
      <c r="B9" s="18" t="inlineStr">
        <is>
          <t>8-14 days</t>
        </is>
      </c>
      <c r="C9" s="12">
        <f>SUMIFS(Data_LOS!$C$2:$C$21,Data_LOS!$A$2:$A$21,2008,Data_LOS!$B$2:$B$21,$B9)</f>
        <v/>
      </c>
      <c r="D9" s="12">
        <f>SUMIFS(Data_LOS!$C$2:$C$21,Data_LOS!$A$2:$A$21,2009,Data_LOS!$B$2:$B$21,$B9)</f>
        <v/>
      </c>
      <c r="E9" s="12">
        <f>SUMIFS(Data_LOS!$C$2:$C$21,Data_LOS!$A$2:$A$21,2010,Data_LOS!$B$2:$B$21,$B9)</f>
        <v/>
      </c>
      <c r="F9" s="12">
        <f>SUM(C9:E9)</f>
        <v/>
      </c>
      <c r="G9" s="13">
        <f>SUMIFS(Data_LOS!$D$2:$D$21,Data_LOS!$A$2:$A$21,"&gt;=2008",Data_LOS!$B$2:$B$21,$B9)</f>
        <v/>
      </c>
      <c r="H9" s="19">
        <f>IF(F9=0,0,G9/F9)</f>
        <v/>
      </c>
      <c r="I9" s="14">
        <f>IF(SUM($F$6:$F$10)=0,0,F9/SUM($F$6:$F$10))</f>
        <v/>
      </c>
    </row>
    <row r="10">
      <c r="B10" s="18" t="inlineStr">
        <is>
          <t>15+ days</t>
        </is>
      </c>
      <c r="C10" s="12">
        <f>SUMIFS(Data_LOS!$C$2:$C$21,Data_LOS!$A$2:$A$21,2008,Data_LOS!$B$2:$B$21,$B10)</f>
        <v/>
      </c>
      <c r="D10" s="12">
        <f>SUMIFS(Data_LOS!$C$2:$C$21,Data_LOS!$A$2:$A$21,2009,Data_LOS!$B$2:$B$21,$B10)</f>
        <v/>
      </c>
      <c r="E10" s="12">
        <f>SUMIFS(Data_LOS!$C$2:$C$21,Data_LOS!$A$2:$A$21,2010,Data_LOS!$B$2:$B$21,$B10)</f>
        <v/>
      </c>
      <c r="F10" s="12">
        <f>SUM(C10:E10)</f>
        <v/>
      </c>
      <c r="G10" s="13">
        <f>SUMIFS(Data_LOS!$D$2:$D$21,Data_LOS!$A$2:$A$21,"&gt;=2008",Data_LOS!$B$2:$B$21,$B10)</f>
        <v/>
      </c>
      <c r="H10" s="19">
        <f>IF(F10=0,0,G10/F10)</f>
        <v/>
      </c>
      <c r="I10" s="14">
        <f>IF(SUM($F$6:$F$10)=0,0,F10/SUM($F$6:$F$10))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21" t="inlineStr">
        <is>
          <t>claim_year</t>
        </is>
      </c>
      <c r="B1" s="21" t="inlineStr">
        <is>
          <t>month</t>
        </is>
      </c>
      <c r="C1" s="21" t="inlineStr">
        <is>
          <t>claim_type</t>
        </is>
      </c>
      <c r="D1" s="21" t="inlineStr">
        <is>
          <t>claims</t>
        </is>
      </c>
      <c r="E1" s="21" t="inlineStr">
        <is>
          <t>patients</t>
        </is>
      </c>
      <c r="F1" s="21" t="inlineStr">
        <is>
          <t>total_payment</t>
        </is>
      </c>
      <c r="G1" s="21" t="inlineStr">
        <is>
          <t>adjustments</t>
        </is>
      </c>
    </row>
    <row r="2">
      <c r="A2" s="24" t="n">
        <v>2007</v>
      </c>
      <c r="B2" s="24" t="n">
        <v>11</v>
      </c>
      <c r="C2" s="24" t="inlineStr">
        <is>
          <t>IP</t>
        </is>
      </c>
      <c r="D2" s="25" t="n">
        <v>2</v>
      </c>
      <c r="E2" s="25" t="n">
        <v>2</v>
      </c>
      <c r="F2" s="26" t="n">
        <v>65000</v>
      </c>
      <c r="G2" s="25" t="n">
        <v>0</v>
      </c>
    </row>
    <row r="3">
      <c r="A3" s="24" t="n">
        <v>2007</v>
      </c>
      <c r="B3" s="24" t="n">
        <v>12</v>
      </c>
      <c r="C3" s="24" t="inlineStr">
        <is>
          <t>IP</t>
        </is>
      </c>
      <c r="D3" s="25" t="n">
        <v>222</v>
      </c>
      <c r="E3" s="25" t="n">
        <v>212</v>
      </c>
      <c r="F3" s="26" t="n">
        <v>2705000</v>
      </c>
      <c r="G3" s="25" t="n">
        <v>0</v>
      </c>
    </row>
    <row r="4">
      <c r="A4" s="24" t="n">
        <v>2007</v>
      </c>
      <c r="B4" s="24" t="n">
        <v>12</v>
      </c>
      <c r="C4" s="24" t="inlineStr">
        <is>
          <t>OP</t>
        </is>
      </c>
      <c r="D4" s="25" t="n">
        <v>312</v>
      </c>
      <c r="E4" s="25" t="n">
        <v>292</v>
      </c>
      <c r="F4" s="26" t="n">
        <v>344030</v>
      </c>
      <c r="G4" s="25" t="n">
        <v>0</v>
      </c>
    </row>
    <row r="5">
      <c r="A5" s="24" t="n">
        <v>2008</v>
      </c>
      <c r="B5" s="24" t="n">
        <v>1</v>
      </c>
      <c r="C5" s="24" t="inlineStr">
        <is>
          <t>IP</t>
        </is>
      </c>
      <c r="D5" s="25" t="n">
        <v>1535</v>
      </c>
      <c r="E5" s="25" t="n">
        <v>1373</v>
      </c>
      <c r="F5" s="26" t="n">
        <v>14559480</v>
      </c>
      <c r="G5" s="25" t="n">
        <v>1</v>
      </c>
    </row>
    <row r="6">
      <c r="A6" s="24" t="n">
        <v>2008</v>
      </c>
      <c r="B6" s="24" t="n">
        <v>1</v>
      </c>
      <c r="C6" s="24" t="inlineStr">
        <is>
          <t>OP</t>
        </is>
      </c>
      <c r="D6" s="25" t="n">
        <v>10256</v>
      </c>
      <c r="E6" s="25" t="n">
        <v>8181</v>
      </c>
      <c r="F6" s="26" t="n">
        <v>3065090</v>
      </c>
      <c r="G6" s="25" t="n">
        <v>37</v>
      </c>
    </row>
    <row r="7">
      <c r="A7" s="24" t="n">
        <v>2008</v>
      </c>
      <c r="B7" s="24" t="n">
        <v>2</v>
      </c>
      <c r="C7" s="24" t="inlineStr">
        <is>
          <t>IP</t>
        </is>
      </c>
      <c r="D7" s="25" t="n">
        <v>1804</v>
      </c>
      <c r="E7" s="25" t="n">
        <v>1593</v>
      </c>
      <c r="F7" s="26" t="n">
        <v>16260110</v>
      </c>
      <c r="G7" s="25" t="n">
        <v>0</v>
      </c>
    </row>
    <row r="8">
      <c r="A8" s="24" t="n">
        <v>2008</v>
      </c>
      <c r="B8" s="24" t="n">
        <v>2</v>
      </c>
      <c r="C8" s="24" t="inlineStr">
        <is>
          <t>OP</t>
        </is>
      </c>
      <c r="D8" s="25" t="n">
        <v>15383</v>
      </c>
      <c r="E8" s="25" t="n">
        <v>11941</v>
      </c>
      <c r="F8" s="26" t="n">
        <v>4481320</v>
      </c>
      <c r="G8" s="25" t="n">
        <v>40</v>
      </c>
    </row>
    <row r="9">
      <c r="A9" s="24" t="n">
        <v>2008</v>
      </c>
      <c r="B9" s="24" t="n">
        <v>3</v>
      </c>
      <c r="C9" s="24" t="inlineStr">
        <is>
          <t>IP</t>
        </is>
      </c>
      <c r="D9" s="25" t="n">
        <v>2301</v>
      </c>
      <c r="E9" s="25" t="n">
        <v>2077</v>
      </c>
      <c r="F9" s="26" t="n">
        <v>20930530</v>
      </c>
      <c r="G9" s="25" t="n">
        <v>2</v>
      </c>
    </row>
    <row r="10">
      <c r="A10" s="24" t="n">
        <v>2008</v>
      </c>
      <c r="B10" s="24" t="n">
        <v>3</v>
      </c>
      <c r="C10" s="24" t="inlineStr">
        <is>
          <t>OP</t>
        </is>
      </c>
      <c r="D10" s="25" t="n">
        <v>21051</v>
      </c>
      <c r="E10" s="25" t="n">
        <v>16046</v>
      </c>
      <c r="F10" s="26" t="n">
        <v>5619730</v>
      </c>
      <c r="G10" s="25" t="n">
        <v>76</v>
      </c>
    </row>
    <row r="11">
      <c r="A11" s="24" t="n">
        <v>2008</v>
      </c>
      <c r="B11" s="24" t="n">
        <v>4</v>
      </c>
      <c r="C11" s="24" t="inlineStr">
        <is>
          <t>IP</t>
        </is>
      </c>
      <c r="D11" s="25" t="n">
        <v>2315</v>
      </c>
      <c r="E11" s="25" t="n">
        <v>2078</v>
      </c>
      <c r="F11" s="26" t="n">
        <v>21670870</v>
      </c>
      <c r="G11" s="25" t="n">
        <v>3</v>
      </c>
    </row>
    <row r="12">
      <c r="A12" s="24" t="n">
        <v>2008</v>
      </c>
      <c r="B12" s="24" t="n">
        <v>4</v>
      </c>
      <c r="C12" s="24" t="inlineStr">
        <is>
          <t>OP</t>
        </is>
      </c>
      <c r="D12" s="25" t="n">
        <v>23164</v>
      </c>
      <c r="E12" s="25" t="n">
        <v>17534</v>
      </c>
      <c r="F12" s="26" t="n">
        <v>6428070</v>
      </c>
      <c r="G12" s="25" t="n">
        <v>78</v>
      </c>
    </row>
    <row r="13">
      <c r="A13" s="24" t="n">
        <v>2008</v>
      </c>
      <c r="B13" s="24" t="n">
        <v>5</v>
      </c>
      <c r="C13" s="24" t="inlineStr">
        <is>
          <t>IP</t>
        </is>
      </c>
      <c r="D13" s="25" t="n">
        <v>2587</v>
      </c>
      <c r="E13" s="25" t="n">
        <v>2268</v>
      </c>
      <c r="F13" s="26" t="n">
        <v>24288340</v>
      </c>
      <c r="G13" s="25" t="n">
        <v>1</v>
      </c>
    </row>
    <row r="14">
      <c r="A14" s="24" t="n">
        <v>2008</v>
      </c>
      <c r="B14" s="24" t="n">
        <v>5</v>
      </c>
      <c r="C14" s="24" t="inlineStr">
        <is>
          <t>OP</t>
        </is>
      </c>
      <c r="D14" s="25" t="n">
        <v>24918</v>
      </c>
      <c r="E14" s="25" t="n">
        <v>18786</v>
      </c>
      <c r="F14" s="26" t="n">
        <v>6899180</v>
      </c>
      <c r="G14" s="25" t="n">
        <v>77</v>
      </c>
    </row>
    <row r="15">
      <c r="A15" s="24" t="n">
        <v>2008</v>
      </c>
      <c r="B15" s="24" t="n">
        <v>6</v>
      </c>
      <c r="C15" s="24" t="inlineStr">
        <is>
          <t>IP</t>
        </is>
      </c>
      <c r="D15" s="25" t="n">
        <v>2453</v>
      </c>
      <c r="E15" s="25" t="n">
        <v>2193</v>
      </c>
      <c r="F15" s="26" t="n">
        <v>23075910</v>
      </c>
      <c r="G15" s="25" t="n">
        <v>1</v>
      </c>
    </row>
    <row r="16">
      <c r="A16" s="24" t="n">
        <v>2008</v>
      </c>
      <c r="B16" s="24" t="n">
        <v>6</v>
      </c>
      <c r="C16" s="24" t="inlineStr">
        <is>
          <t>OP</t>
        </is>
      </c>
      <c r="D16" s="25" t="n">
        <v>25063</v>
      </c>
      <c r="E16" s="25" t="n">
        <v>19105</v>
      </c>
      <c r="F16" s="26" t="n">
        <v>6858910</v>
      </c>
      <c r="G16" s="25" t="n">
        <v>103</v>
      </c>
    </row>
    <row r="17">
      <c r="A17" s="24" t="n">
        <v>2008</v>
      </c>
      <c r="B17" s="24" t="n">
        <v>7</v>
      </c>
      <c r="C17" s="24" t="inlineStr">
        <is>
          <t>IP</t>
        </is>
      </c>
      <c r="D17" s="25" t="n">
        <v>2470</v>
      </c>
      <c r="E17" s="25" t="n">
        <v>2235</v>
      </c>
      <c r="F17" s="26" t="n">
        <v>23030390</v>
      </c>
      <c r="G17" s="25" t="n">
        <v>3</v>
      </c>
    </row>
    <row r="18">
      <c r="A18" s="24" t="n">
        <v>2008</v>
      </c>
      <c r="B18" s="24" t="n">
        <v>7</v>
      </c>
      <c r="C18" s="24" t="inlineStr">
        <is>
          <t>OP</t>
        </is>
      </c>
      <c r="D18" s="25" t="n">
        <v>26414</v>
      </c>
      <c r="E18" s="25" t="n">
        <v>19968</v>
      </c>
      <c r="F18" s="26" t="n">
        <v>7200610</v>
      </c>
      <c r="G18" s="25" t="n">
        <v>84</v>
      </c>
    </row>
    <row r="19">
      <c r="A19" s="24" t="n">
        <v>2008</v>
      </c>
      <c r="B19" s="24" t="n">
        <v>8</v>
      </c>
      <c r="C19" s="24" t="inlineStr">
        <is>
          <t>IP</t>
        </is>
      </c>
      <c r="D19" s="25" t="n">
        <v>2586</v>
      </c>
      <c r="E19" s="25" t="n">
        <v>2330</v>
      </c>
      <c r="F19" s="26" t="n">
        <v>23911310</v>
      </c>
      <c r="G19" s="25" t="n">
        <v>1</v>
      </c>
    </row>
    <row r="20">
      <c r="A20" s="24" t="n">
        <v>2008</v>
      </c>
      <c r="B20" s="24" t="n">
        <v>8</v>
      </c>
      <c r="C20" s="24" t="inlineStr">
        <is>
          <t>OP</t>
        </is>
      </c>
      <c r="D20" s="25" t="n">
        <v>27203</v>
      </c>
      <c r="E20" s="25" t="n">
        <v>20675</v>
      </c>
      <c r="F20" s="26" t="n">
        <v>7393690</v>
      </c>
      <c r="G20" s="25" t="n">
        <v>86</v>
      </c>
    </row>
    <row r="21">
      <c r="A21" s="24" t="n">
        <v>2008</v>
      </c>
      <c r="B21" s="24" t="n">
        <v>9</v>
      </c>
      <c r="C21" s="24" t="inlineStr">
        <is>
          <t>IP</t>
        </is>
      </c>
      <c r="D21" s="25" t="n">
        <v>2455</v>
      </c>
      <c r="E21" s="25" t="n">
        <v>2258</v>
      </c>
      <c r="F21" s="26" t="n">
        <v>22304100</v>
      </c>
      <c r="G21" s="25" t="n">
        <v>3</v>
      </c>
    </row>
    <row r="22">
      <c r="A22" s="24" t="n">
        <v>2008</v>
      </c>
      <c r="B22" s="24" t="n">
        <v>9</v>
      </c>
      <c r="C22" s="24" t="inlineStr">
        <is>
          <t>OP</t>
        </is>
      </c>
      <c r="D22" s="25" t="n">
        <v>26418</v>
      </c>
      <c r="E22" s="25" t="n">
        <v>20264</v>
      </c>
      <c r="F22" s="26" t="n">
        <v>7266510</v>
      </c>
      <c r="G22" s="25" t="n">
        <v>88</v>
      </c>
    </row>
    <row r="23">
      <c r="A23" s="24" t="n">
        <v>2008</v>
      </c>
      <c r="B23" s="24" t="n">
        <v>10</v>
      </c>
      <c r="C23" s="24" t="inlineStr">
        <is>
          <t>IP</t>
        </is>
      </c>
      <c r="D23" s="25" t="n">
        <v>2505</v>
      </c>
      <c r="E23" s="25" t="n">
        <v>2290</v>
      </c>
      <c r="F23" s="26" t="n">
        <v>23536580</v>
      </c>
      <c r="G23" s="25" t="n">
        <v>3</v>
      </c>
    </row>
    <row r="24">
      <c r="A24" s="24" t="n">
        <v>2008</v>
      </c>
      <c r="B24" s="24" t="n">
        <v>10</v>
      </c>
      <c r="C24" s="24" t="inlineStr">
        <is>
          <t>OP</t>
        </is>
      </c>
      <c r="D24" s="25" t="n">
        <v>27482</v>
      </c>
      <c r="E24" s="25" t="n">
        <v>20935</v>
      </c>
      <c r="F24" s="26" t="n">
        <v>7780840</v>
      </c>
      <c r="G24" s="25" t="n">
        <v>88</v>
      </c>
    </row>
    <row r="25">
      <c r="A25" s="24" t="n">
        <v>2008</v>
      </c>
      <c r="B25" s="24" t="n">
        <v>11</v>
      </c>
      <c r="C25" s="24" t="inlineStr">
        <is>
          <t>IP</t>
        </is>
      </c>
      <c r="D25" s="25" t="n">
        <v>2339</v>
      </c>
      <c r="E25" s="25" t="n">
        <v>2158</v>
      </c>
      <c r="F25" s="26" t="n">
        <v>21898930</v>
      </c>
      <c r="G25" s="25" t="n">
        <v>2</v>
      </c>
    </row>
    <row r="26">
      <c r="A26" s="24" t="n">
        <v>2008</v>
      </c>
      <c r="B26" s="24" t="n">
        <v>11</v>
      </c>
      <c r="C26" s="24" t="inlineStr">
        <is>
          <t>OP</t>
        </is>
      </c>
      <c r="D26" s="25" t="n">
        <v>27104</v>
      </c>
      <c r="E26" s="25" t="n">
        <v>20973</v>
      </c>
      <c r="F26" s="26" t="n">
        <v>7496870</v>
      </c>
      <c r="G26" s="25" t="n">
        <v>85</v>
      </c>
    </row>
    <row r="27">
      <c r="A27" s="24" t="n">
        <v>2008</v>
      </c>
      <c r="B27" s="24" t="n">
        <v>12</v>
      </c>
      <c r="C27" s="24" t="inlineStr">
        <is>
          <t>IP</t>
        </is>
      </c>
      <c r="D27" s="25" t="n">
        <v>2328</v>
      </c>
      <c r="E27" s="25" t="n">
        <v>2166</v>
      </c>
      <c r="F27" s="26" t="n">
        <v>22578330</v>
      </c>
      <c r="G27" s="25" t="n">
        <v>2</v>
      </c>
    </row>
    <row r="28">
      <c r="A28" s="24" t="n">
        <v>2008</v>
      </c>
      <c r="B28" s="24" t="n">
        <v>12</v>
      </c>
      <c r="C28" s="24" t="inlineStr">
        <is>
          <t>OP</t>
        </is>
      </c>
      <c r="D28" s="25" t="n">
        <v>28440</v>
      </c>
      <c r="E28" s="25" t="n">
        <v>21752</v>
      </c>
      <c r="F28" s="26" t="n">
        <v>7938710</v>
      </c>
      <c r="G28" s="25" t="n">
        <v>82</v>
      </c>
    </row>
    <row r="29">
      <c r="A29" s="24" t="n">
        <v>2009</v>
      </c>
      <c r="B29" s="24" t="n">
        <v>1</v>
      </c>
      <c r="C29" s="24" t="inlineStr">
        <is>
          <t>IP</t>
        </is>
      </c>
      <c r="D29" s="25" t="n">
        <v>2330</v>
      </c>
      <c r="E29" s="25" t="n">
        <v>2187</v>
      </c>
      <c r="F29" s="26" t="n">
        <v>21992740</v>
      </c>
      <c r="G29" s="25" t="n">
        <v>3</v>
      </c>
    </row>
    <row r="30">
      <c r="A30" s="24" t="n">
        <v>2009</v>
      </c>
      <c r="B30" s="24" t="n">
        <v>1</v>
      </c>
      <c r="C30" s="24" t="inlineStr">
        <is>
          <t>OP</t>
        </is>
      </c>
      <c r="D30" s="25" t="n">
        <v>28633</v>
      </c>
      <c r="E30" s="25" t="n">
        <v>21895</v>
      </c>
      <c r="F30" s="26" t="n">
        <v>8178170</v>
      </c>
      <c r="G30" s="25" t="n">
        <v>72</v>
      </c>
    </row>
    <row r="31">
      <c r="A31" s="24" t="n">
        <v>2009</v>
      </c>
      <c r="B31" s="24" t="n">
        <v>2</v>
      </c>
      <c r="C31" s="24" t="inlineStr">
        <is>
          <t>IP</t>
        </is>
      </c>
      <c r="D31" s="25" t="n">
        <v>2015</v>
      </c>
      <c r="E31" s="25" t="n">
        <v>1912</v>
      </c>
      <c r="F31" s="26" t="n">
        <v>20052990</v>
      </c>
      <c r="G31" s="25" t="n">
        <v>4</v>
      </c>
    </row>
    <row r="32">
      <c r="A32" s="24" t="n">
        <v>2009</v>
      </c>
      <c r="B32" s="24" t="n">
        <v>2</v>
      </c>
      <c r="C32" s="24" t="inlineStr">
        <is>
          <t>OP</t>
        </is>
      </c>
      <c r="D32" s="25" t="n">
        <v>25970</v>
      </c>
      <c r="E32" s="25" t="n">
        <v>20417</v>
      </c>
      <c r="F32" s="26" t="n">
        <v>7488220</v>
      </c>
      <c r="G32" s="25" t="n">
        <v>97</v>
      </c>
    </row>
    <row r="33">
      <c r="A33" s="24" t="n">
        <v>2009</v>
      </c>
      <c r="B33" s="24" t="n">
        <v>3</v>
      </c>
      <c r="C33" s="24" t="inlineStr">
        <is>
          <t>IP</t>
        </is>
      </c>
      <c r="D33" s="25" t="n">
        <v>2216</v>
      </c>
      <c r="E33" s="25" t="n">
        <v>2121</v>
      </c>
      <c r="F33" s="26" t="n">
        <v>22155130</v>
      </c>
      <c r="G33" s="25" t="n">
        <v>1</v>
      </c>
    </row>
    <row r="34">
      <c r="A34" s="24" t="n">
        <v>2009</v>
      </c>
      <c r="B34" s="24" t="n">
        <v>3</v>
      </c>
      <c r="C34" s="24" t="inlineStr">
        <is>
          <t>OP</t>
        </is>
      </c>
      <c r="D34" s="25" t="n">
        <v>28509</v>
      </c>
      <c r="E34" s="25" t="n">
        <v>22038</v>
      </c>
      <c r="F34" s="26" t="n">
        <v>8154540</v>
      </c>
      <c r="G34" s="25" t="n">
        <v>89</v>
      </c>
    </row>
    <row r="35">
      <c r="A35" s="24" t="n">
        <v>2009</v>
      </c>
      <c r="B35" s="24" t="n">
        <v>4</v>
      </c>
      <c r="C35" s="24" t="inlineStr">
        <is>
          <t>IP</t>
        </is>
      </c>
      <c r="D35" s="25" t="n">
        <v>2185</v>
      </c>
      <c r="E35" s="25" t="n">
        <v>2087</v>
      </c>
      <c r="F35" s="26" t="n">
        <v>21470840</v>
      </c>
      <c r="G35" s="25" t="n">
        <v>2</v>
      </c>
    </row>
    <row r="36">
      <c r="A36" s="24" t="n">
        <v>2009</v>
      </c>
      <c r="B36" s="24" t="n">
        <v>4</v>
      </c>
      <c r="C36" s="24" t="inlineStr">
        <is>
          <t>OP</t>
        </is>
      </c>
      <c r="D36" s="25" t="n">
        <v>27813</v>
      </c>
      <c r="E36" s="25" t="n">
        <v>21541</v>
      </c>
      <c r="F36" s="26" t="n">
        <v>8058200</v>
      </c>
      <c r="G36" s="25" t="n">
        <v>87</v>
      </c>
    </row>
    <row r="37">
      <c r="A37" s="24" t="n">
        <v>2009</v>
      </c>
      <c r="B37" s="24" t="n">
        <v>5</v>
      </c>
      <c r="C37" s="24" t="inlineStr">
        <is>
          <t>IP</t>
        </is>
      </c>
      <c r="D37" s="25" t="n">
        <v>2218</v>
      </c>
      <c r="E37" s="25" t="n">
        <v>2123</v>
      </c>
      <c r="F37" s="26" t="n">
        <v>21494800</v>
      </c>
      <c r="G37" s="25" t="n">
        <v>2</v>
      </c>
    </row>
    <row r="38">
      <c r="A38" s="24" t="n">
        <v>2009</v>
      </c>
      <c r="B38" s="24" t="n">
        <v>5</v>
      </c>
      <c r="C38" s="24" t="inlineStr">
        <is>
          <t>OP</t>
        </is>
      </c>
      <c r="D38" s="25" t="n">
        <v>28405</v>
      </c>
      <c r="E38" s="25" t="n">
        <v>22063</v>
      </c>
      <c r="F38" s="26" t="n">
        <v>8246310</v>
      </c>
      <c r="G38" s="25" t="n">
        <v>104</v>
      </c>
    </row>
    <row r="39">
      <c r="A39" s="24" t="n">
        <v>2009</v>
      </c>
      <c r="B39" s="24" t="n">
        <v>6</v>
      </c>
      <c r="C39" s="24" t="inlineStr">
        <is>
          <t>IP</t>
        </is>
      </c>
      <c r="D39" s="25" t="n">
        <v>2116</v>
      </c>
      <c r="E39" s="25" t="n">
        <v>2029</v>
      </c>
      <c r="F39" s="26" t="n">
        <v>20332180</v>
      </c>
      <c r="G39" s="25" t="n">
        <v>3</v>
      </c>
    </row>
    <row r="40">
      <c r="A40" s="24" t="n">
        <v>2009</v>
      </c>
      <c r="B40" s="24" t="n">
        <v>6</v>
      </c>
      <c r="C40" s="24" t="inlineStr">
        <is>
          <t>OP</t>
        </is>
      </c>
      <c r="D40" s="25" t="n">
        <v>27392</v>
      </c>
      <c r="E40" s="25" t="n">
        <v>21435</v>
      </c>
      <c r="F40" s="26" t="n">
        <v>8132080</v>
      </c>
      <c r="G40" s="25" t="n">
        <v>90</v>
      </c>
    </row>
    <row r="41">
      <c r="A41" s="24" t="n">
        <v>2009</v>
      </c>
      <c r="B41" s="24" t="n">
        <v>7</v>
      </c>
      <c r="C41" s="24" t="inlineStr">
        <is>
          <t>IP</t>
        </is>
      </c>
      <c r="D41" s="25" t="n">
        <v>2083</v>
      </c>
      <c r="E41" s="25" t="n">
        <v>2007</v>
      </c>
      <c r="F41" s="26" t="n">
        <v>20441330</v>
      </c>
      <c r="G41" s="25" t="n">
        <v>2</v>
      </c>
    </row>
    <row r="42">
      <c r="A42" s="24" t="n">
        <v>2009</v>
      </c>
      <c r="B42" s="24" t="n">
        <v>7</v>
      </c>
      <c r="C42" s="24" t="inlineStr">
        <is>
          <t>OP</t>
        </is>
      </c>
      <c r="D42" s="25" t="n">
        <v>27717</v>
      </c>
      <c r="E42" s="25" t="n">
        <v>21515</v>
      </c>
      <c r="F42" s="26" t="n">
        <v>8009530</v>
      </c>
      <c r="G42" s="25" t="n">
        <v>87</v>
      </c>
    </row>
    <row r="43">
      <c r="A43" s="24" t="n">
        <v>2009</v>
      </c>
      <c r="B43" s="24" t="n">
        <v>8</v>
      </c>
      <c r="C43" s="24" t="inlineStr">
        <is>
          <t>IP</t>
        </is>
      </c>
      <c r="D43" s="25" t="n">
        <v>2142</v>
      </c>
      <c r="E43" s="25" t="n">
        <v>2050</v>
      </c>
      <c r="F43" s="26" t="n">
        <v>21137390</v>
      </c>
      <c r="G43" s="25" t="n">
        <v>0</v>
      </c>
    </row>
    <row r="44">
      <c r="A44" s="24" t="n">
        <v>2009</v>
      </c>
      <c r="B44" s="24" t="n">
        <v>8</v>
      </c>
      <c r="C44" s="24" t="inlineStr">
        <is>
          <t>OP</t>
        </is>
      </c>
      <c r="D44" s="25" t="n">
        <v>27641</v>
      </c>
      <c r="E44" s="25" t="n">
        <v>21434</v>
      </c>
      <c r="F44" s="26" t="n">
        <v>8088670</v>
      </c>
      <c r="G44" s="25" t="n">
        <v>75</v>
      </c>
    </row>
    <row r="45">
      <c r="A45" s="24" t="n">
        <v>2009</v>
      </c>
      <c r="B45" s="24" t="n">
        <v>9</v>
      </c>
      <c r="C45" s="24" t="inlineStr">
        <is>
          <t>IP</t>
        </is>
      </c>
      <c r="D45" s="25" t="n">
        <v>2125</v>
      </c>
      <c r="E45" s="25" t="n">
        <v>2022</v>
      </c>
      <c r="F45" s="26" t="n">
        <v>20337070</v>
      </c>
      <c r="G45" s="25" t="n">
        <v>1</v>
      </c>
    </row>
    <row r="46">
      <c r="A46" s="24" t="n">
        <v>2009</v>
      </c>
      <c r="B46" s="24" t="n">
        <v>9</v>
      </c>
      <c r="C46" s="24" t="inlineStr">
        <is>
          <t>OP</t>
        </is>
      </c>
      <c r="D46" s="25" t="n">
        <v>26050</v>
      </c>
      <c r="E46" s="25" t="n">
        <v>20497</v>
      </c>
      <c r="F46" s="26" t="n">
        <v>7586990</v>
      </c>
      <c r="G46" s="25" t="n">
        <v>84</v>
      </c>
    </row>
    <row r="47">
      <c r="A47" s="24" t="n">
        <v>2009</v>
      </c>
      <c r="B47" s="24" t="n">
        <v>10</v>
      </c>
      <c r="C47" s="24" t="inlineStr">
        <is>
          <t>IP</t>
        </is>
      </c>
      <c r="D47" s="25" t="n">
        <v>2005</v>
      </c>
      <c r="E47" s="25" t="n">
        <v>1936</v>
      </c>
      <c r="F47" s="26" t="n">
        <v>19470860</v>
      </c>
      <c r="G47" s="25" t="n">
        <v>2</v>
      </c>
    </row>
    <row r="48">
      <c r="A48" s="24" t="n">
        <v>2009</v>
      </c>
      <c r="B48" s="24" t="n">
        <v>10</v>
      </c>
      <c r="C48" s="24" t="inlineStr">
        <is>
          <t>OP</t>
        </is>
      </c>
      <c r="D48" s="25" t="n">
        <v>26016</v>
      </c>
      <c r="E48" s="25" t="n">
        <v>20352</v>
      </c>
      <c r="F48" s="26" t="n">
        <v>7823930</v>
      </c>
      <c r="G48" s="25" t="n">
        <v>95</v>
      </c>
    </row>
    <row r="49">
      <c r="A49" s="24" t="n">
        <v>2009</v>
      </c>
      <c r="B49" s="24" t="n">
        <v>11</v>
      </c>
      <c r="C49" s="24" t="inlineStr">
        <is>
          <t>IP</t>
        </is>
      </c>
      <c r="D49" s="25" t="n">
        <v>1903</v>
      </c>
      <c r="E49" s="25" t="n">
        <v>1838</v>
      </c>
      <c r="F49" s="26" t="n">
        <v>18055180</v>
      </c>
      <c r="G49" s="25" t="n">
        <v>0</v>
      </c>
    </row>
    <row r="50">
      <c r="A50" s="24" t="n">
        <v>2009</v>
      </c>
      <c r="B50" s="24" t="n">
        <v>11</v>
      </c>
      <c r="C50" s="24" t="inlineStr">
        <is>
          <t>OP</t>
        </is>
      </c>
      <c r="D50" s="25" t="n">
        <v>24322</v>
      </c>
      <c r="E50" s="25" t="n">
        <v>19196</v>
      </c>
      <c r="F50" s="26" t="n">
        <v>7353750</v>
      </c>
      <c r="G50" s="25" t="n">
        <v>91</v>
      </c>
    </row>
    <row r="51">
      <c r="A51" s="24" t="n">
        <v>2009</v>
      </c>
      <c r="B51" s="24" t="n">
        <v>12</v>
      </c>
      <c r="C51" s="24" t="inlineStr">
        <is>
          <t>IP</t>
        </is>
      </c>
      <c r="D51" s="25" t="n">
        <v>1893</v>
      </c>
      <c r="E51" s="25" t="n">
        <v>1831</v>
      </c>
      <c r="F51" s="26" t="n">
        <v>18563460</v>
      </c>
      <c r="G51" s="25" t="n">
        <v>1</v>
      </c>
    </row>
    <row r="52">
      <c r="A52" s="24" t="n">
        <v>2009</v>
      </c>
      <c r="B52" s="24" t="n">
        <v>12</v>
      </c>
      <c r="C52" s="24" t="inlineStr">
        <is>
          <t>OP</t>
        </is>
      </c>
      <c r="D52" s="25" t="n">
        <v>23890</v>
      </c>
      <c r="E52" s="25" t="n">
        <v>18910</v>
      </c>
      <c r="F52" s="26" t="n">
        <v>7033620</v>
      </c>
      <c r="G52" s="25" t="n">
        <v>77</v>
      </c>
    </row>
    <row r="53">
      <c r="A53" s="24" t="n">
        <v>2010</v>
      </c>
      <c r="B53" s="24" t="n">
        <v>1</v>
      </c>
      <c r="C53" s="24" t="inlineStr">
        <is>
          <t>IP</t>
        </is>
      </c>
      <c r="D53" s="25" t="n">
        <v>1785</v>
      </c>
      <c r="E53" s="25" t="n">
        <v>1720</v>
      </c>
      <c r="F53" s="26" t="n">
        <v>17785730</v>
      </c>
      <c r="G53" s="25" t="n">
        <v>0</v>
      </c>
    </row>
    <row r="54">
      <c r="A54" s="24" t="n">
        <v>2010</v>
      </c>
      <c r="B54" s="24" t="n">
        <v>1</v>
      </c>
      <c r="C54" s="24" t="inlineStr">
        <is>
          <t>OP</t>
        </is>
      </c>
      <c r="D54" s="25" t="n">
        <v>22594</v>
      </c>
      <c r="E54" s="25" t="n">
        <v>17890</v>
      </c>
      <c r="F54" s="26" t="n">
        <v>6719500</v>
      </c>
      <c r="G54" s="25" t="n">
        <v>67</v>
      </c>
    </row>
    <row r="55">
      <c r="A55" s="24" t="n">
        <v>2010</v>
      </c>
      <c r="B55" s="24" t="n">
        <v>2</v>
      </c>
      <c r="C55" s="24" t="inlineStr">
        <is>
          <t>IP</t>
        </is>
      </c>
      <c r="D55" s="25" t="n">
        <v>1535</v>
      </c>
      <c r="E55" s="25" t="n">
        <v>1496</v>
      </c>
      <c r="F55" s="26" t="n">
        <v>14672900</v>
      </c>
      <c r="G55" s="25" t="n">
        <v>0</v>
      </c>
    </row>
    <row r="56">
      <c r="A56" s="24" t="n">
        <v>2010</v>
      </c>
      <c r="B56" s="24" t="n">
        <v>2</v>
      </c>
      <c r="C56" s="24" t="inlineStr">
        <is>
          <t>OP</t>
        </is>
      </c>
      <c r="D56" s="25" t="n">
        <v>19264</v>
      </c>
      <c r="E56" s="25" t="n">
        <v>15625</v>
      </c>
      <c r="F56" s="26" t="n">
        <v>5627410</v>
      </c>
      <c r="G56" s="25" t="n">
        <v>81</v>
      </c>
    </row>
    <row r="57">
      <c r="A57" s="24" t="n">
        <v>2010</v>
      </c>
      <c r="B57" s="24" t="n">
        <v>3</v>
      </c>
      <c r="C57" s="24" t="inlineStr">
        <is>
          <t>IP</t>
        </is>
      </c>
      <c r="D57" s="25" t="n">
        <v>1555</v>
      </c>
      <c r="E57" s="25" t="n">
        <v>1511</v>
      </c>
      <c r="F57" s="26" t="n">
        <v>15962780</v>
      </c>
      <c r="G57" s="25" t="n">
        <v>1</v>
      </c>
    </row>
    <row r="58">
      <c r="A58" s="24" t="n">
        <v>2010</v>
      </c>
      <c r="B58" s="24" t="n">
        <v>3</v>
      </c>
      <c r="C58" s="24" t="inlineStr">
        <is>
          <t>OP</t>
        </is>
      </c>
      <c r="D58" s="25" t="n">
        <v>20157</v>
      </c>
      <c r="E58" s="25" t="n">
        <v>16106</v>
      </c>
      <c r="F58" s="26" t="n">
        <v>6013750</v>
      </c>
      <c r="G58" s="25" t="n">
        <v>58</v>
      </c>
    </row>
    <row r="59">
      <c r="A59" s="24" t="n">
        <v>2010</v>
      </c>
      <c r="B59" s="24" t="n">
        <v>4</v>
      </c>
      <c r="C59" s="24" t="inlineStr">
        <is>
          <t>IP</t>
        </is>
      </c>
      <c r="D59" s="25" t="n">
        <v>1480</v>
      </c>
      <c r="E59" s="25" t="n">
        <v>1429</v>
      </c>
      <c r="F59" s="26" t="n">
        <v>15058890</v>
      </c>
      <c r="G59" s="25" t="n">
        <v>2</v>
      </c>
    </row>
    <row r="60">
      <c r="A60" s="24" t="n">
        <v>2010</v>
      </c>
      <c r="B60" s="24" t="n">
        <v>4</v>
      </c>
      <c r="C60" s="24" t="inlineStr">
        <is>
          <t>OP</t>
        </is>
      </c>
      <c r="D60" s="25" t="n">
        <v>18017</v>
      </c>
      <c r="E60" s="25" t="n">
        <v>14553</v>
      </c>
      <c r="F60" s="26" t="n">
        <v>5345320</v>
      </c>
      <c r="G60" s="25" t="n">
        <v>59</v>
      </c>
    </row>
    <row r="61">
      <c r="A61" s="24" t="n">
        <v>2010</v>
      </c>
      <c r="B61" s="24" t="n">
        <v>5</v>
      </c>
      <c r="C61" s="24" t="inlineStr">
        <is>
          <t>IP</t>
        </is>
      </c>
      <c r="D61" s="25" t="n">
        <v>1444</v>
      </c>
      <c r="E61" s="25" t="n">
        <v>1400</v>
      </c>
      <c r="F61" s="26" t="n">
        <v>14046480</v>
      </c>
      <c r="G61" s="25" t="n">
        <v>2</v>
      </c>
    </row>
    <row r="62">
      <c r="A62" s="24" t="n">
        <v>2010</v>
      </c>
      <c r="B62" s="24" t="n">
        <v>5</v>
      </c>
      <c r="C62" s="24" t="inlineStr">
        <is>
          <t>OP</t>
        </is>
      </c>
      <c r="D62" s="25" t="n">
        <v>17193</v>
      </c>
      <c r="E62" s="25" t="n">
        <v>13839</v>
      </c>
      <c r="F62" s="26" t="n">
        <v>5251450</v>
      </c>
      <c r="G62" s="25" t="n">
        <v>52</v>
      </c>
    </row>
    <row r="63">
      <c r="A63" s="24" t="n">
        <v>2010</v>
      </c>
      <c r="B63" s="24" t="n">
        <v>6</v>
      </c>
      <c r="C63" s="24" t="inlineStr">
        <is>
          <t>IP</t>
        </is>
      </c>
      <c r="D63" s="25" t="n">
        <v>1313</v>
      </c>
      <c r="E63" s="25" t="n">
        <v>1277</v>
      </c>
      <c r="F63" s="26" t="n">
        <v>12566090</v>
      </c>
      <c r="G63" s="25" t="n">
        <v>1</v>
      </c>
    </row>
    <row r="64">
      <c r="A64" s="24" t="n">
        <v>2010</v>
      </c>
      <c r="B64" s="24" t="n">
        <v>6</v>
      </c>
      <c r="C64" s="24" t="inlineStr">
        <is>
          <t>OP</t>
        </is>
      </c>
      <c r="D64" s="25" t="n">
        <v>15097</v>
      </c>
      <c r="E64" s="25" t="n">
        <v>12356</v>
      </c>
      <c r="F64" s="26" t="n">
        <v>4318630</v>
      </c>
      <c r="G64" s="25" t="n">
        <v>46</v>
      </c>
    </row>
    <row r="65">
      <c r="A65" s="24" t="n">
        <v>2010</v>
      </c>
      <c r="B65" s="24" t="n">
        <v>7</v>
      </c>
      <c r="C65" s="24" t="inlineStr">
        <is>
          <t>IP</t>
        </is>
      </c>
      <c r="D65" s="25" t="n">
        <v>1200</v>
      </c>
      <c r="E65" s="25" t="n">
        <v>1170</v>
      </c>
      <c r="F65" s="26" t="n">
        <v>11299460</v>
      </c>
      <c r="G65" s="25" t="n">
        <v>4</v>
      </c>
    </row>
    <row r="66">
      <c r="A66" s="24" t="n">
        <v>2010</v>
      </c>
      <c r="B66" s="24" t="n">
        <v>7</v>
      </c>
      <c r="C66" s="24" t="inlineStr">
        <is>
          <t>OP</t>
        </is>
      </c>
      <c r="D66" s="25" t="n">
        <v>14193</v>
      </c>
      <c r="E66" s="25" t="n">
        <v>11504</v>
      </c>
      <c r="F66" s="26" t="n">
        <v>4130650</v>
      </c>
      <c r="G66" s="25" t="n">
        <v>49</v>
      </c>
    </row>
    <row r="67">
      <c r="A67" s="24" t="n">
        <v>2010</v>
      </c>
      <c r="B67" s="24" t="n">
        <v>8</v>
      </c>
      <c r="C67" s="24" t="inlineStr">
        <is>
          <t>IP</t>
        </is>
      </c>
      <c r="D67" s="25" t="n">
        <v>1068</v>
      </c>
      <c r="E67" s="25" t="n">
        <v>1051</v>
      </c>
      <c r="F67" s="26" t="n">
        <v>10469400</v>
      </c>
      <c r="G67" s="25" t="n">
        <v>0</v>
      </c>
    </row>
    <row r="68">
      <c r="A68" s="24" t="n">
        <v>2010</v>
      </c>
      <c r="B68" s="24" t="n">
        <v>8</v>
      </c>
      <c r="C68" s="24" t="inlineStr">
        <is>
          <t>OP</t>
        </is>
      </c>
      <c r="D68" s="25" t="n">
        <v>12443</v>
      </c>
      <c r="E68" s="25" t="n">
        <v>10159</v>
      </c>
      <c r="F68" s="26" t="n">
        <v>3722360</v>
      </c>
      <c r="G68" s="25" t="n">
        <v>54</v>
      </c>
    </row>
    <row r="69">
      <c r="A69" s="24" t="n">
        <v>2010</v>
      </c>
      <c r="B69" s="24" t="n">
        <v>9</v>
      </c>
      <c r="C69" s="24" t="inlineStr">
        <is>
          <t>IP</t>
        </is>
      </c>
      <c r="D69" s="25" t="n">
        <v>911</v>
      </c>
      <c r="E69" s="25" t="n">
        <v>900</v>
      </c>
      <c r="F69" s="26" t="n">
        <v>8716400</v>
      </c>
      <c r="G69" s="25" t="n">
        <v>0</v>
      </c>
    </row>
    <row r="70">
      <c r="A70" s="24" t="n">
        <v>2010</v>
      </c>
      <c r="B70" s="24" t="n">
        <v>9</v>
      </c>
      <c r="C70" s="24" t="inlineStr">
        <is>
          <t>OP</t>
        </is>
      </c>
      <c r="D70" s="25" t="n">
        <v>10733</v>
      </c>
      <c r="E70" s="25" t="n">
        <v>8916</v>
      </c>
      <c r="F70" s="26" t="n">
        <v>3129510</v>
      </c>
      <c r="G70" s="25" t="n">
        <v>42</v>
      </c>
    </row>
    <row r="71">
      <c r="A71" s="24" t="n">
        <v>2010</v>
      </c>
      <c r="B71" s="24" t="n">
        <v>10</v>
      </c>
      <c r="C71" s="24" t="inlineStr">
        <is>
          <t>IP</t>
        </is>
      </c>
      <c r="D71" s="25" t="n">
        <v>626</v>
      </c>
      <c r="E71" s="25" t="n">
        <v>618</v>
      </c>
      <c r="F71" s="26" t="n">
        <v>5857000</v>
      </c>
      <c r="G71" s="25" t="n">
        <v>2</v>
      </c>
    </row>
    <row r="72">
      <c r="A72" s="24" t="n">
        <v>2010</v>
      </c>
      <c r="B72" s="24" t="n">
        <v>10</v>
      </c>
      <c r="C72" s="24" t="inlineStr">
        <is>
          <t>OP</t>
        </is>
      </c>
      <c r="D72" s="25" t="n">
        <v>9461</v>
      </c>
      <c r="E72" s="25" t="n">
        <v>7850</v>
      </c>
      <c r="F72" s="26" t="n">
        <v>2794700</v>
      </c>
      <c r="G72" s="25" t="n">
        <v>27</v>
      </c>
    </row>
    <row r="73">
      <c r="A73" s="24" t="n">
        <v>2010</v>
      </c>
      <c r="B73" s="24" t="n">
        <v>11</v>
      </c>
      <c r="C73" s="24" t="inlineStr">
        <is>
          <t>IP</t>
        </is>
      </c>
      <c r="D73" s="25" t="n">
        <v>398</v>
      </c>
      <c r="E73" s="25" t="n">
        <v>387</v>
      </c>
      <c r="F73" s="26" t="n">
        <v>4176500</v>
      </c>
      <c r="G73" s="25" t="n">
        <v>0</v>
      </c>
    </row>
    <row r="74">
      <c r="A74" s="24" t="n">
        <v>2010</v>
      </c>
      <c r="B74" s="24" t="n">
        <v>11</v>
      </c>
      <c r="C74" s="24" t="inlineStr">
        <is>
          <t>OP</t>
        </is>
      </c>
      <c r="D74" s="25" t="n">
        <v>8007</v>
      </c>
      <c r="E74" s="25" t="n">
        <v>6678</v>
      </c>
      <c r="F74" s="26" t="n">
        <v>2381670</v>
      </c>
      <c r="G74" s="25" t="n">
        <v>26</v>
      </c>
    </row>
    <row r="75">
      <c r="A75" s="24" t="n">
        <v>2010</v>
      </c>
      <c r="B75" s="24" t="n">
        <v>12</v>
      </c>
      <c r="C75" s="24" t="inlineStr">
        <is>
          <t>IP</t>
        </is>
      </c>
      <c r="D75" s="25" t="n">
        <v>257</v>
      </c>
      <c r="E75" s="25" t="n">
        <v>257</v>
      </c>
      <c r="F75" s="26" t="n">
        <v>2329700</v>
      </c>
      <c r="G75" s="25" t="n">
        <v>0</v>
      </c>
    </row>
    <row r="76">
      <c r="A76" s="24" t="n">
        <v>2010</v>
      </c>
      <c r="B76" s="24" t="n">
        <v>12</v>
      </c>
      <c r="C76" s="24" t="inlineStr">
        <is>
          <t>OP</t>
        </is>
      </c>
      <c r="D76" s="25" t="n">
        <v>6812</v>
      </c>
      <c r="E76" s="25" t="n">
        <v>5763</v>
      </c>
      <c r="F76" s="26" t="n">
        <v>1780490</v>
      </c>
      <c r="G76" s="25" t="n">
        <v>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</cols>
  <sheetData>
    <row r="1">
      <c r="A1" s="21" t="inlineStr">
        <is>
          <t>claim_year</t>
        </is>
      </c>
      <c r="B1" s="21" t="inlineStr">
        <is>
          <t>claim_type</t>
        </is>
      </c>
      <c r="C1" s="21" t="inlineStr">
        <is>
          <t>icd9_chapter</t>
        </is>
      </c>
      <c r="D1" s="21" t="inlineStr">
        <is>
          <t>claims</t>
        </is>
      </c>
      <c r="E1" s="21" t="inlineStr">
        <is>
          <t>total_payment</t>
        </is>
      </c>
    </row>
    <row r="2">
      <c r="A2" s="24" t="n">
        <v>2007</v>
      </c>
      <c r="B2" s="24" t="inlineStr">
        <is>
          <t>IP</t>
        </is>
      </c>
      <c r="C2" s="24" t="inlineStr">
        <is>
          <t>Circulatory system</t>
        </is>
      </c>
      <c r="D2" s="25" t="n">
        <v>46</v>
      </c>
      <c r="E2" s="26" t="n">
        <v>694000</v>
      </c>
    </row>
    <row r="3">
      <c r="A3" s="24" t="n">
        <v>2007</v>
      </c>
      <c r="B3" s="24" t="inlineStr">
        <is>
          <t>IP</t>
        </is>
      </c>
      <c r="C3" s="24" t="inlineStr">
        <is>
          <t>Respiratory system</t>
        </is>
      </c>
      <c r="D3" s="25" t="n">
        <v>45</v>
      </c>
      <c r="E3" s="26" t="n">
        <v>609000</v>
      </c>
    </row>
    <row r="4">
      <c r="A4" s="24" t="n">
        <v>2007</v>
      </c>
      <c r="B4" s="24" t="inlineStr">
        <is>
          <t>IP</t>
        </is>
      </c>
      <c r="C4" s="24" t="inlineStr">
        <is>
          <t>Injury and poisoning</t>
        </is>
      </c>
      <c r="D4" s="25" t="n">
        <v>17</v>
      </c>
      <c r="E4" s="26" t="n">
        <v>263000</v>
      </c>
    </row>
    <row r="5">
      <c r="A5" s="24" t="n">
        <v>2007</v>
      </c>
      <c r="B5" s="24" t="inlineStr">
        <is>
          <t>IP</t>
        </is>
      </c>
      <c r="C5" s="24" t="inlineStr">
        <is>
          <t>Infectious and parasitic diseases</t>
        </is>
      </c>
      <c r="D5" s="25" t="n">
        <v>21</v>
      </c>
      <c r="E5" s="26" t="n">
        <v>247000</v>
      </c>
    </row>
    <row r="6">
      <c r="A6" s="24" t="n">
        <v>2007</v>
      </c>
      <c r="B6" s="24" t="inlineStr">
        <is>
          <t>IP</t>
        </is>
      </c>
      <c r="C6" s="24" t="inlineStr">
        <is>
          <t>Digestive system</t>
        </is>
      </c>
      <c r="D6" s="25" t="n">
        <v>25</v>
      </c>
      <c r="E6" s="26" t="n">
        <v>219000</v>
      </c>
    </row>
    <row r="7">
      <c r="A7" s="24" t="n">
        <v>2007</v>
      </c>
      <c r="B7" s="24" t="inlineStr">
        <is>
          <t>IP</t>
        </is>
      </c>
      <c r="C7" s="24" t="inlineStr">
        <is>
          <t>Mental disorders</t>
        </is>
      </c>
      <c r="D7" s="25" t="n">
        <v>12</v>
      </c>
      <c r="E7" s="26" t="n">
        <v>160000</v>
      </c>
    </row>
    <row r="8">
      <c r="A8" s="24" t="n">
        <v>2007</v>
      </c>
      <c r="B8" s="24" t="inlineStr">
        <is>
          <t>IP</t>
        </is>
      </c>
      <c r="C8" s="24" t="inlineStr">
        <is>
          <t>Supplementary factors (V codes)</t>
        </is>
      </c>
      <c r="D8" s="25" t="n">
        <v>7</v>
      </c>
      <c r="E8" s="26" t="n">
        <v>116000</v>
      </c>
    </row>
    <row r="9">
      <c r="A9" s="24" t="n">
        <v>2007</v>
      </c>
      <c r="B9" s="24" t="inlineStr">
        <is>
          <t>IP</t>
        </is>
      </c>
      <c r="C9" s="24" t="inlineStr">
        <is>
          <t>Musculoskeletal system</t>
        </is>
      </c>
      <c r="D9" s="25" t="n">
        <v>6</v>
      </c>
      <c r="E9" s="26" t="n">
        <v>105000</v>
      </c>
    </row>
    <row r="10">
      <c r="A10" s="24" t="n">
        <v>2007</v>
      </c>
      <c r="B10" s="24" t="inlineStr">
        <is>
          <t>IP</t>
        </is>
      </c>
      <c r="C10" s="24" t="inlineStr">
        <is>
          <t>Skin and subcutaneous tissue</t>
        </is>
      </c>
      <c r="D10" s="25" t="n">
        <v>8</v>
      </c>
      <c r="E10" s="26" t="n">
        <v>104000</v>
      </c>
    </row>
    <row r="11">
      <c r="A11" s="24" t="n">
        <v>2007</v>
      </c>
      <c r="B11" s="24" t="inlineStr">
        <is>
          <t>IP</t>
        </is>
      </c>
      <c r="C11" s="24" t="inlineStr">
        <is>
          <t>Genitourinary system</t>
        </is>
      </c>
      <c r="D11" s="25" t="n">
        <v>10</v>
      </c>
      <c r="E11" s="26" t="n">
        <v>73000</v>
      </c>
    </row>
    <row r="12">
      <c r="A12" s="24" t="n">
        <v>2007</v>
      </c>
      <c r="B12" s="24" t="inlineStr">
        <is>
          <t>IP</t>
        </is>
      </c>
      <c r="C12" s="24" t="inlineStr">
        <is>
          <t>Neoplasms</t>
        </is>
      </c>
      <c r="D12" s="25" t="n">
        <v>8</v>
      </c>
      <c r="E12" s="26" t="n">
        <v>61000</v>
      </c>
    </row>
    <row r="13">
      <c r="A13" s="24" t="n">
        <v>2007</v>
      </c>
      <c r="B13" s="24" t="inlineStr">
        <is>
          <t>IP</t>
        </is>
      </c>
      <c r="C13" s="24" t="inlineStr">
        <is>
          <t>Endocrine, nutritional, metabolic and immunity disorders</t>
        </is>
      </c>
      <c r="D13" s="25" t="n">
        <v>7</v>
      </c>
      <c r="E13" s="26" t="n">
        <v>59000</v>
      </c>
    </row>
    <row r="14">
      <c r="A14" s="24" t="n">
        <v>2007</v>
      </c>
      <c r="B14" s="24" t="inlineStr">
        <is>
          <t>IP</t>
        </is>
      </c>
      <c r="C14" s="24" t="inlineStr">
        <is>
          <t>Symptoms, signs and ill-defined conditions</t>
        </is>
      </c>
      <c r="D14" s="25" t="n">
        <v>7</v>
      </c>
      <c r="E14" s="26" t="n">
        <v>27000</v>
      </c>
    </row>
    <row r="15">
      <c r="A15" s="24" t="n">
        <v>2007</v>
      </c>
      <c r="B15" s="24" t="inlineStr">
        <is>
          <t>IP</t>
        </is>
      </c>
      <c r="C15" s="24" t="inlineStr">
        <is>
          <t>Nervous system and sense organs</t>
        </is>
      </c>
      <c r="D15" s="25" t="n">
        <v>3</v>
      </c>
      <c r="E15" s="26" t="n">
        <v>21000</v>
      </c>
    </row>
    <row r="16">
      <c r="A16" s="24" t="n">
        <v>2007</v>
      </c>
      <c r="B16" s="24" t="inlineStr">
        <is>
          <t>IP</t>
        </is>
      </c>
      <c r="C16" s="24" t="inlineStr">
        <is>
          <t>Diseases of the blood</t>
        </is>
      </c>
      <c r="D16" s="25" t="n">
        <v>1</v>
      </c>
      <c r="E16" s="26" t="n">
        <v>9000</v>
      </c>
    </row>
    <row r="17">
      <c r="A17" s="24" t="n">
        <v>2007</v>
      </c>
      <c r="B17" s="24" t="inlineStr">
        <is>
          <t>IP</t>
        </is>
      </c>
      <c r="C17" s="24" t="inlineStr">
        <is>
          <t>Pregnancy and childbirth</t>
        </is>
      </c>
      <c r="D17" s="25" t="n">
        <v>1</v>
      </c>
      <c r="E17" s="26" t="n">
        <v>3000</v>
      </c>
    </row>
    <row r="18">
      <c r="A18" s="24" t="n">
        <v>2007</v>
      </c>
      <c r="B18" s="24" t="inlineStr">
        <is>
          <t>OP</t>
        </is>
      </c>
      <c r="C18" s="24" t="inlineStr">
        <is>
          <t>Supplementary factors (V codes)</t>
        </is>
      </c>
      <c r="D18" s="25" t="n">
        <v>122</v>
      </c>
      <c r="E18" s="26" t="n">
        <v>179670</v>
      </c>
    </row>
    <row r="19">
      <c r="A19" s="24" t="n">
        <v>2007</v>
      </c>
      <c r="B19" s="24" t="inlineStr">
        <is>
          <t>OP</t>
        </is>
      </c>
      <c r="C19" s="24" t="inlineStr">
        <is>
          <t>Genitourinary system</t>
        </is>
      </c>
      <c r="D19" s="25" t="n">
        <v>42</v>
      </c>
      <c r="E19" s="26" t="n">
        <v>105830</v>
      </c>
    </row>
    <row r="20">
      <c r="A20" s="24" t="n">
        <v>2007</v>
      </c>
      <c r="B20" s="24" t="inlineStr">
        <is>
          <t>OP</t>
        </is>
      </c>
      <c r="C20" s="24" t="inlineStr">
        <is>
          <t>Symptoms, signs and ill-defined conditions</t>
        </is>
      </c>
      <c r="D20" s="25" t="n">
        <v>17</v>
      </c>
      <c r="E20" s="26" t="n">
        <v>18060</v>
      </c>
    </row>
    <row r="21">
      <c r="A21" s="24" t="n">
        <v>2007</v>
      </c>
      <c r="B21" s="24" t="inlineStr">
        <is>
          <t>OP</t>
        </is>
      </c>
      <c r="C21" s="24" t="inlineStr">
        <is>
          <t>Musculoskeletal system</t>
        </is>
      </c>
      <c r="D21" s="25" t="n">
        <v>48</v>
      </c>
      <c r="E21" s="26" t="n">
        <v>16950</v>
      </c>
    </row>
    <row r="22">
      <c r="A22" s="24" t="n">
        <v>2007</v>
      </c>
      <c r="B22" s="24" t="inlineStr">
        <is>
          <t>OP</t>
        </is>
      </c>
      <c r="C22" s="24" t="inlineStr">
        <is>
          <t>Nervous system and sense organs</t>
        </is>
      </c>
      <c r="D22" s="25" t="n">
        <v>10</v>
      </c>
      <c r="E22" s="26" t="n">
        <v>7020</v>
      </c>
    </row>
    <row r="23">
      <c r="A23" s="24" t="n">
        <v>2007</v>
      </c>
      <c r="B23" s="24" t="inlineStr">
        <is>
          <t>OP</t>
        </is>
      </c>
      <c r="C23" s="24" t="inlineStr">
        <is>
          <t>Neoplasms</t>
        </is>
      </c>
      <c r="D23" s="25" t="n">
        <v>15</v>
      </c>
      <c r="E23" s="26" t="n">
        <v>6570</v>
      </c>
    </row>
    <row r="24">
      <c r="A24" s="24" t="n">
        <v>2007</v>
      </c>
      <c r="B24" s="24" t="inlineStr">
        <is>
          <t>OP</t>
        </is>
      </c>
      <c r="C24" s="24" t="inlineStr">
        <is>
          <t>Circulatory system</t>
        </is>
      </c>
      <c r="D24" s="25" t="n">
        <v>18</v>
      </c>
      <c r="E24" s="26" t="n">
        <v>3520</v>
      </c>
    </row>
    <row r="25">
      <c r="A25" s="24" t="n">
        <v>2007</v>
      </c>
      <c r="B25" s="24" t="inlineStr">
        <is>
          <t>OP</t>
        </is>
      </c>
      <c r="C25" s="24" t="inlineStr">
        <is>
          <t>Mental disorders</t>
        </is>
      </c>
      <c r="D25" s="25" t="n">
        <v>14</v>
      </c>
      <c r="E25" s="26" t="n">
        <v>2740</v>
      </c>
    </row>
    <row r="26">
      <c r="A26" s="24" t="n">
        <v>2007</v>
      </c>
      <c r="B26" s="24" t="inlineStr">
        <is>
          <t>OP</t>
        </is>
      </c>
      <c r="C26" s="24" t="inlineStr">
        <is>
          <t>Skin and subcutaneous tissue</t>
        </is>
      </c>
      <c r="D26" s="25" t="n">
        <v>6</v>
      </c>
      <c r="E26" s="26" t="n">
        <v>1190</v>
      </c>
    </row>
    <row r="27">
      <c r="A27" s="24" t="n">
        <v>2007</v>
      </c>
      <c r="B27" s="24" t="inlineStr">
        <is>
          <t>OP</t>
        </is>
      </c>
      <c r="C27" s="24" t="inlineStr">
        <is>
          <t>Diseases of the blood</t>
        </is>
      </c>
      <c r="D27" s="25" t="n">
        <v>8</v>
      </c>
      <c r="E27" s="26" t="n">
        <v>1040</v>
      </c>
    </row>
    <row r="28">
      <c r="A28" s="24" t="n">
        <v>2007</v>
      </c>
      <c r="B28" s="24" t="inlineStr">
        <is>
          <t>OP</t>
        </is>
      </c>
      <c r="C28" s="24" t="inlineStr">
        <is>
          <t>Injury and poisoning</t>
        </is>
      </c>
      <c r="D28" s="25" t="n">
        <v>5</v>
      </c>
      <c r="E28" s="26" t="n">
        <v>530</v>
      </c>
    </row>
    <row r="29">
      <c r="A29" s="24" t="n">
        <v>2007</v>
      </c>
      <c r="B29" s="24" t="inlineStr">
        <is>
          <t>OP</t>
        </is>
      </c>
      <c r="C29" s="24" t="inlineStr">
        <is>
          <t>Congenital anomalies</t>
        </is>
      </c>
      <c r="D29" s="25" t="n">
        <v>1</v>
      </c>
      <c r="E29" s="26" t="n">
        <v>400</v>
      </c>
    </row>
    <row r="30">
      <c r="A30" s="24" t="n">
        <v>2007</v>
      </c>
      <c r="B30" s="24" t="inlineStr">
        <is>
          <t>OP</t>
        </is>
      </c>
      <c r="C30" s="24" t="inlineStr">
        <is>
          <t>Endocrine, nutritional, metabolic and immunity disorders</t>
        </is>
      </c>
      <c r="D30" s="25" t="n">
        <v>2</v>
      </c>
      <c r="E30" s="26" t="n">
        <v>240</v>
      </c>
    </row>
    <row r="31">
      <c r="A31" s="24" t="n">
        <v>2007</v>
      </c>
      <c r="B31" s="24" t="inlineStr">
        <is>
          <t>OP</t>
        </is>
      </c>
      <c r="C31" s="24" t="inlineStr">
        <is>
          <t>Respiratory system</t>
        </is>
      </c>
      <c r="D31" s="25" t="n">
        <v>2</v>
      </c>
      <c r="E31" s="26" t="n">
        <v>230</v>
      </c>
    </row>
    <row r="32">
      <c r="A32" s="24" t="n">
        <v>2007</v>
      </c>
      <c r="B32" s="24" t="inlineStr">
        <is>
          <t>OP</t>
        </is>
      </c>
      <c r="C32" s="24" t="inlineStr">
        <is>
          <t>Infectious and parasitic diseases</t>
        </is>
      </c>
      <c r="D32" s="25" t="n">
        <v>1</v>
      </c>
      <c r="E32" s="26" t="n">
        <v>40</v>
      </c>
    </row>
    <row r="33">
      <c r="A33" s="24" t="n">
        <v>2007</v>
      </c>
      <c r="B33" s="24" t="inlineStr">
        <is>
          <t>OP</t>
        </is>
      </c>
      <c r="C33" s="24" t="inlineStr">
        <is>
          <t>Digestive system</t>
        </is>
      </c>
      <c r="D33" s="25" t="n">
        <v>1</v>
      </c>
      <c r="E33" s="26" t="n">
        <v>0</v>
      </c>
    </row>
    <row r="34">
      <c r="A34" s="24" t="n">
        <v>2008</v>
      </c>
      <c r="B34" s="24" t="inlineStr">
        <is>
          <t>IP</t>
        </is>
      </c>
      <c r="C34" s="24" t="inlineStr">
        <is>
          <t>Circulatory system</t>
        </is>
      </c>
      <c r="D34" s="25" t="n">
        <v>6596</v>
      </c>
      <c r="E34" s="26" t="n">
        <v>66678370</v>
      </c>
    </row>
    <row r="35">
      <c r="A35" s="24" t="n">
        <v>2008</v>
      </c>
      <c r="B35" s="24" t="inlineStr">
        <is>
          <t>IP</t>
        </is>
      </c>
      <c r="C35" s="24" t="inlineStr">
        <is>
          <t>Respiratory system</t>
        </is>
      </c>
      <c r="D35" s="25" t="n">
        <v>3660</v>
      </c>
      <c r="E35" s="26" t="n">
        <v>32227160</v>
      </c>
    </row>
    <row r="36">
      <c r="A36" s="24" t="n">
        <v>2008</v>
      </c>
      <c r="B36" s="24" t="inlineStr">
        <is>
          <t>IP</t>
        </is>
      </c>
      <c r="C36" s="24" t="inlineStr">
        <is>
          <t>Injury and poisoning</t>
        </is>
      </c>
      <c r="D36" s="25" t="n">
        <v>2476</v>
      </c>
      <c r="E36" s="26" t="n">
        <v>26500780</v>
      </c>
    </row>
    <row r="37">
      <c r="A37" s="24" t="n">
        <v>2008</v>
      </c>
      <c r="B37" s="24" t="inlineStr">
        <is>
          <t>IP</t>
        </is>
      </c>
      <c r="C37" s="24" t="inlineStr">
        <is>
          <t>Digestive system</t>
        </is>
      </c>
      <c r="D37" s="25" t="n">
        <v>2690</v>
      </c>
      <c r="E37" s="26" t="n">
        <v>22288820</v>
      </c>
    </row>
    <row r="38">
      <c r="A38" s="24" t="n">
        <v>2008</v>
      </c>
      <c r="B38" s="24" t="inlineStr">
        <is>
          <t>IP</t>
        </is>
      </c>
      <c r="C38" s="24" t="inlineStr">
        <is>
          <t>Musculoskeletal system</t>
        </is>
      </c>
      <c r="D38" s="25" t="n">
        <v>1878</v>
      </c>
      <c r="E38" s="26" t="n">
        <v>20692720</v>
      </c>
    </row>
    <row r="39">
      <c r="A39" s="24" t="n">
        <v>2008</v>
      </c>
      <c r="B39" s="24" t="inlineStr">
        <is>
          <t>IP</t>
        </is>
      </c>
      <c r="C39" s="24" t="inlineStr">
        <is>
          <t>Infectious and parasitic diseases</t>
        </is>
      </c>
      <c r="D39" s="25" t="n">
        <v>1402</v>
      </c>
      <c r="E39" s="26" t="n">
        <v>18701800</v>
      </c>
    </row>
    <row r="40">
      <c r="A40" s="24" t="n">
        <v>2008</v>
      </c>
      <c r="B40" s="24" t="inlineStr">
        <is>
          <t>IP</t>
        </is>
      </c>
      <c r="C40" s="24" t="inlineStr">
        <is>
          <t>Neoplasms</t>
        </is>
      </c>
      <c r="D40" s="25" t="n">
        <v>1193</v>
      </c>
      <c r="E40" s="26" t="n">
        <v>14804500</v>
      </c>
    </row>
    <row r="41">
      <c r="A41" s="24" t="n">
        <v>2008</v>
      </c>
      <c r="B41" s="24" t="inlineStr">
        <is>
          <t>IP</t>
        </is>
      </c>
      <c r="C41" s="24" t="inlineStr">
        <is>
          <t>Supplementary factors (V codes)</t>
        </is>
      </c>
      <c r="D41" s="25" t="n">
        <v>826</v>
      </c>
      <c r="E41" s="26" t="n">
        <v>12557350</v>
      </c>
    </row>
    <row r="42">
      <c r="A42" s="24" t="n">
        <v>2008</v>
      </c>
      <c r="B42" s="24" t="inlineStr">
        <is>
          <t>IP</t>
        </is>
      </c>
      <c r="C42" s="24" t="inlineStr">
        <is>
          <t>Genitourinary system</t>
        </is>
      </c>
      <c r="D42" s="25" t="n">
        <v>1615</v>
      </c>
      <c r="E42" s="26" t="n">
        <v>10095060</v>
      </c>
    </row>
    <row r="43">
      <c r="A43" s="24" t="n">
        <v>2008</v>
      </c>
      <c r="B43" s="24" t="inlineStr">
        <is>
          <t>IP</t>
        </is>
      </c>
      <c r="C43" s="24" t="inlineStr">
        <is>
          <t>Endocrine, nutritional, metabolic and immunity disorders</t>
        </is>
      </c>
      <c r="D43" s="25" t="n">
        <v>1159</v>
      </c>
      <c r="E43" s="26" t="n">
        <v>7518870</v>
      </c>
    </row>
    <row r="44">
      <c r="A44" s="24" t="n">
        <v>2008</v>
      </c>
      <c r="B44" s="24" t="inlineStr">
        <is>
          <t>IP</t>
        </is>
      </c>
      <c r="C44" s="24" t="inlineStr">
        <is>
          <t>Mental disorders</t>
        </is>
      </c>
      <c r="D44" s="25" t="n">
        <v>1142</v>
      </c>
      <c r="E44" s="26" t="n">
        <v>7505110</v>
      </c>
    </row>
    <row r="45">
      <c r="A45" s="24" t="n">
        <v>2008</v>
      </c>
      <c r="B45" s="24" t="inlineStr">
        <is>
          <t>IP</t>
        </is>
      </c>
      <c r="C45" s="24" t="inlineStr">
        <is>
          <t>Symptoms, signs and ill-defined conditions</t>
        </is>
      </c>
      <c r="D45" s="25" t="n">
        <v>1546</v>
      </c>
      <c r="E45" s="26" t="n">
        <v>7123220</v>
      </c>
    </row>
    <row r="46">
      <c r="A46" s="24" t="n">
        <v>2008</v>
      </c>
      <c r="B46" s="24" t="inlineStr">
        <is>
          <t>IP</t>
        </is>
      </c>
      <c r="C46" s="24" t="inlineStr">
        <is>
          <t>Nervous system and sense organs</t>
        </is>
      </c>
      <c r="D46" s="25" t="n">
        <v>608</v>
      </c>
      <c r="E46" s="26" t="n">
        <v>4711730</v>
      </c>
    </row>
    <row r="47">
      <c r="A47" s="24" t="n">
        <v>2008</v>
      </c>
      <c r="B47" s="24" t="inlineStr">
        <is>
          <t>IP</t>
        </is>
      </c>
      <c r="C47" s="24" t="inlineStr">
        <is>
          <t>Skin and subcutaneous tissue</t>
        </is>
      </c>
      <c r="D47" s="25" t="n">
        <v>489</v>
      </c>
      <c r="E47" s="26" t="n">
        <v>3747070</v>
      </c>
    </row>
    <row r="48">
      <c r="A48" s="24" t="n">
        <v>2008</v>
      </c>
      <c r="B48" s="24" t="inlineStr">
        <is>
          <t>IP</t>
        </is>
      </c>
      <c r="C48" s="24" t="inlineStr">
        <is>
          <t>Diseases of the blood</t>
        </is>
      </c>
      <c r="D48" s="25" t="n">
        <v>337</v>
      </c>
      <c r="E48" s="26" t="n">
        <v>2166320</v>
      </c>
    </row>
    <row r="49">
      <c r="A49" s="24" t="n">
        <v>2008</v>
      </c>
      <c r="B49" s="24" t="inlineStr">
        <is>
          <t>IP</t>
        </is>
      </c>
      <c r="C49" s="24" t="inlineStr">
        <is>
          <t>Congenital anomalies</t>
        </is>
      </c>
      <c r="D49" s="25" t="n">
        <v>22</v>
      </c>
      <c r="E49" s="26" t="n">
        <v>396000</v>
      </c>
    </row>
    <row r="50">
      <c r="A50" s="24" t="n">
        <v>2008</v>
      </c>
      <c r="B50" s="24" t="inlineStr">
        <is>
          <t>IP</t>
        </is>
      </c>
      <c r="C50" s="24" t="inlineStr">
        <is>
          <t>Unclassified</t>
        </is>
      </c>
      <c r="D50" s="25" t="n">
        <v>8</v>
      </c>
      <c r="E50" s="26" t="n">
        <v>225000</v>
      </c>
    </row>
    <row r="51">
      <c r="A51" s="24" t="n">
        <v>2008</v>
      </c>
      <c r="B51" s="24" t="inlineStr">
        <is>
          <t>IP</t>
        </is>
      </c>
      <c r="C51" s="24" t="inlineStr">
        <is>
          <t>Pregnancy and childbirth</t>
        </is>
      </c>
      <c r="D51" s="25" t="n">
        <v>31</v>
      </c>
      <c r="E51" s="26" t="n">
        <v>105000</v>
      </c>
    </row>
    <row r="52">
      <c r="A52" s="24" t="n">
        <v>2008</v>
      </c>
      <c r="B52" s="24" t="inlineStr">
        <is>
          <t>OP</t>
        </is>
      </c>
      <c r="C52" s="24" t="inlineStr">
        <is>
          <t>Supplementary factors (V codes)</t>
        </is>
      </c>
      <c r="D52" s="25" t="n">
        <v>57725</v>
      </c>
      <c r="E52" s="26" t="n">
        <v>19337150</v>
      </c>
    </row>
    <row r="53">
      <c r="A53" s="24" t="n">
        <v>2008</v>
      </c>
      <c r="B53" s="24" t="inlineStr">
        <is>
          <t>OP</t>
        </is>
      </c>
      <c r="C53" s="24" t="inlineStr">
        <is>
          <t>Genitourinary system</t>
        </is>
      </c>
      <c r="D53" s="25" t="n">
        <v>15155</v>
      </c>
      <c r="E53" s="26" t="n">
        <v>8875850</v>
      </c>
    </row>
    <row r="54">
      <c r="A54" s="24" t="n">
        <v>2008</v>
      </c>
      <c r="B54" s="24" t="inlineStr">
        <is>
          <t>OP</t>
        </is>
      </c>
      <c r="C54" s="24" t="inlineStr">
        <is>
          <t>Symptoms, signs and ill-defined conditions</t>
        </is>
      </c>
      <c r="D54" s="25" t="n">
        <v>30929</v>
      </c>
      <c r="E54" s="26" t="n">
        <v>8125650</v>
      </c>
    </row>
    <row r="55">
      <c r="A55" s="24" t="n">
        <v>2008</v>
      </c>
      <c r="B55" s="24" t="inlineStr">
        <is>
          <t>OP</t>
        </is>
      </c>
      <c r="C55" s="24" t="inlineStr">
        <is>
          <t>Circulatory system</t>
        </is>
      </c>
      <c r="D55" s="25" t="n">
        <v>41539</v>
      </c>
      <c r="E55" s="26" t="n">
        <v>7923390</v>
      </c>
    </row>
    <row r="56">
      <c r="A56" s="24" t="n">
        <v>2008</v>
      </c>
      <c r="B56" s="24" t="inlineStr">
        <is>
          <t>OP</t>
        </is>
      </c>
      <c r="C56" s="24" t="inlineStr">
        <is>
          <t>Musculoskeletal system</t>
        </is>
      </c>
      <c r="D56" s="25" t="n">
        <v>28532</v>
      </c>
      <c r="E56" s="26" t="n">
        <v>6780410</v>
      </c>
    </row>
    <row r="57">
      <c r="A57" s="24" t="n">
        <v>2008</v>
      </c>
      <c r="B57" s="24" t="inlineStr">
        <is>
          <t>OP</t>
        </is>
      </c>
      <c r="C57" s="24" t="inlineStr">
        <is>
          <t>Neoplasms</t>
        </is>
      </c>
      <c r="D57" s="25" t="n">
        <v>14316</v>
      </c>
      <c r="E57" s="26" t="n">
        <v>5506680</v>
      </c>
    </row>
    <row r="58">
      <c r="A58" s="24" t="n">
        <v>2008</v>
      </c>
      <c r="B58" s="24" t="inlineStr">
        <is>
          <t>OP</t>
        </is>
      </c>
      <c r="C58" s="24" t="inlineStr">
        <is>
          <t>Nervous system and sense organs</t>
        </is>
      </c>
      <c r="D58" s="25" t="n">
        <v>13428</v>
      </c>
      <c r="E58" s="26" t="n">
        <v>4718400</v>
      </c>
    </row>
    <row r="59">
      <c r="A59" s="24" t="n">
        <v>2008</v>
      </c>
      <c r="B59" s="24" t="inlineStr">
        <is>
          <t>OP</t>
        </is>
      </c>
      <c r="C59" s="24" t="inlineStr">
        <is>
          <t>Injury and poisoning</t>
        </is>
      </c>
      <c r="D59" s="25" t="n">
        <v>11806</v>
      </c>
      <c r="E59" s="26" t="n">
        <v>4098530</v>
      </c>
    </row>
    <row r="60">
      <c r="A60" s="24" t="n">
        <v>2008</v>
      </c>
      <c r="B60" s="24" t="inlineStr">
        <is>
          <t>OP</t>
        </is>
      </c>
      <c r="C60" s="24" t="inlineStr">
        <is>
          <t>Digestive system</t>
        </is>
      </c>
      <c r="D60" s="25" t="n">
        <v>9265</v>
      </c>
      <c r="E60" s="26" t="n">
        <v>3652730</v>
      </c>
    </row>
    <row r="61">
      <c r="A61" s="24" t="n">
        <v>2008</v>
      </c>
      <c r="B61" s="24" t="inlineStr">
        <is>
          <t>OP</t>
        </is>
      </c>
      <c r="C61" s="24" t="inlineStr">
        <is>
          <t>Endocrine, nutritional, metabolic and immunity disorders</t>
        </is>
      </c>
      <c r="D61" s="25" t="n">
        <v>22500</v>
      </c>
      <c r="E61" s="26" t="n">
        <v>2334220</v>
      </c>
    </row>
    <row r="62">
      <c r="A62" s="24" t="n">
        <v>2008</v>
      </c>
      <c r="B62" s="24" t="inlineStr">
        <is>
          <t>OP</t>
        </is>
      </c>
      <c r="C62" s="24" t="inlineStr">
        <is>
          <t>Respiratory system</t>
        </is>
      </c>
      <c r="D62" s="25" t="n">
        <v>12854</v>
      </c>
      <c r="E62" s="26" t="n">
        <v>2323640</v>
      </c>
    </row>
    <row r="63">
      <c r="A63" s="24" t="n">
        <v>2008</v>
      </c>
      <c r="B63" s="24" t="inlineStr">
        <is>
          <t>OP</t>
        </is>
      </c>
      <c r="C63" s="24" t="inlineStr">
        <is>
          <t>Mental disorders</t>
        </is>
      </c>
      <c r="D63" s="25" t="n">
        <v>7366</v>
      </c>
      <c r="E63" s="26" t="n">
        <v>1779420</v>
      </c>
    </row>
    <row r="64">
      <c r="A64" s="24" t="n">
        <v>2008</v>
      </c>
      <c r="B64" s="24" t="inlineStr">
        <is>
          <t>OP</t>
        </is>
      </c>
      <c r="C64" s="24" t="inlineStr">
        <is>
          <t>Diseases of the blood</t>
        </is>
      </c>
      <c r="D64" s="25" t="n">
        <v>7970</v>
      </c>
      <c r="E64" s="26" t="n">
        <v>1357690</v>
      </c>
    </row>
    <row r="65">
      <c r="A65" s="24" t="n">
        <v>2008</v>
      </c>
      <c r="B65" s="24" t="inlineStr">
        <is>
          <t>OP</t>
        </is>
      </c>
      <c r="C65" s="24" t="inlineStr">
        <is>
          <t>Skin and subcutaneous tissue</t>
        </is>
      </c>
      <c r="D65" s="25" t="n">
        <v>5312</v>
      </c>
      <c r="E65" s="26" t="n">
        <v>841420</v>
      </c>
    </row>
    <row r="66">
      <c r="A66" s="24" t="n">
        <v>2008</v>
      </c>
      <c r="B66" s="24" t="inlineStr">
        <is>
          <t>OP</t>
        </is>
      </c>
      <c r="C66" s="24" t="inlineStr">
        <is>
          <t>Infectious and parasitic diseases</t>
        </is>
      </c>
      <c r="D66" s="25" t="n">
        <v>3670</v>
      </c>
      <c r="E66" s="26" t="n">
        <v>653670</v>
      </c>
    </row>
    <row r="67">
      <c r="A67" s="24" t="n">
        <v>2008</v>
      </c>
      <c r="B67" s="24" t="inlineStr">
        <is>
          <t>OP</t>
        </is>
      </c>
      <c r="C67" s="24" t="inlineStr">
        <is>
          <t>Congenital anomalies</t>
        </is>
      </c>
      <c r="D67" s="25" t="n">
        <v>363</v>
      </c>
      <c r="E67" s="26" t="n">
        <v>88190</v>
      </c>
    </row>
    <row r="68">
      <c r="A68" s="24" t="n">
        <v>2008</v>
      </c>
      <c r="B68" s="24" t="inlineStr">
        <is>
          <t>OP</t>
        </is>
      </c>
      <c r="C68" s="24" t="inlineStr">
        <is>
          <t>Pregnancy and childbirth</t>
        </is>
      </c>
      <c r="D68" s="25" t="n">
        <v>129</v>
      </c>
      <c r="E68" s="26" t="n">
        <v>21860</v>
      </c>
    </row>
    <row r="69">
      <c r="A69" s="24" t="n">
        <v>2008</v>
      </c>
      <c r="B69" s="24" t="inlineStr">
        <is>
          <t>OP</t>
        </is>
      </c>
      <c r="C69" s="24" t="inlineStr">
        <is>
          <t>External causes of injury (E codes)</t>
        </is>
      </c>
      <c r="D69" s="25" t="n">
        <v>18</v>
      </c>
      <c r="E69" s="26" t="n">
        <v>6600</v>
      </c>
    </row>
    <row r="70">
      <c r="A70" s="24" t="n">
        <v>2008</v>
      </c>
      <c r="B70" s="24" t="inlineStr">
        <is>
          <t>OP</t>
        </is>
      </c>
      <c r="C70" s="24" t="inlineStr">
        <is>
          <t>Perinatal conditions</t>
        </is>
      </c>
      <c r="D70" s="25" t="n">
        <v>18</v>
      </c>
      <c r="E70" s="26" t="n">
        <v>3930</v>
      </c>
    </row>
    <row r="71">
      <c r="A71" s="24" t="n">
        <v>2008</v>
      </c>
      <c r="B71" s="24" t="inlineStr">
        <is>
          <t>OP</t>
        </is>
      </c>
      <c r="C71" s="24" t="inlineStr">
        <is>
          <t>Unclassified</t>
        </is>
      </c>
      <c r="D71" s="25" t="n">
        <v>1</v>
      </c>
      <c r="E71" s="26" t="n">
        <v>100</v>
      </c>
    </row>
    <row r="72">
      <c r="A72" s="24" t="n">
        <v>2009</v>
      </c>
      <c r="B72" s="24" t="inlineStr">
        <is>
          <t>IP</t>
        </is>
      </c>
      <c r="C72" s="24" t="inlineStr">
        <is>
          <t>Circulatory system</t>
        </is>
      </c>
      <c r="D72" s="25" t="n">
        <v>6023</v>
      </c>
      <c r="E72" s="26" t="n">
        <v>64053420</v>
      </c>
    </row>
    <row r="73">
      <c r="A73" s="24" t="n">
        <v>2009</v>
      </c>
      <c r="B73" s="24" t="inlineStr">
        <is>
          <t>IP</t>
        </is>
      </c>
      <c r="C73" s="24" t="inlineStr">
        <is>
          <t>Respiratory system</t>
        </is>
      </c>
      <c r="D73" s="25" t="n">
        <v>3155</v>
      </c>
      <c r="E73" s="26" t="n">
        <v>28693440</v>
      </c>
    </row>
    <row r="74">
      <c r="A74" s="24" t="n">
        <v>2009</v>
      </c>
      <c r="B74" s="24" t="inlineStr">
        <is>
          <t>IP</t>
        </is>
      </c>
      <c r="C74" s="24" t="inlineStr">
        <is>
          <t>Injury and poisoning</t>
        </is>
      </c>
      <c r="D74" s="25" t="n">
        <v>2282</v>
      </c>
      <c r="E74" s="26" t="n">
        <v>26024940</v>
      </c>
    </row>
    <row r="75">
      <c r="A75" s="24" t="n">
        <v>2009</v>
      </c>
      <c r="B75" s="24" t="inlineStr">
        <is>
          <t>IP</t>
        </is>
      </c>
      <c r="C75" s="24" t="inlineStr">
        <is>
          <t>Digestive system</t>
        </is>
      </c>
      <c r="D75" s="25" t="n">
        <v>2480</v>
      </c>
      <c r="E75" s="26" t="n">
        <v>21818410</v>
      </c>
    </row>
    <row r="76">
      <c r="A76" s="24" t="n">
        <v>2009</v>
      </c>
      <c r="B76" s="24" t="inlineStr">
        <is>
          <t>IP</t>
        </is>
      </c>
      <c r="C76" s="24" t="inlineStr">
        <is>
          <t>Musculoskeletal system</t>
        </is>
      </c>
      <c r="D76" s="25" t="n">
        <v>1783</v>
      </c>
      <c r="E76" s="26" t="n">
        <v>20001620</v>
      </c>
    </row>
    <row r="77">
      <c r="A77" s="24" t="n">
        <v>2009</v>
      </c>
      <c r="B77" s="24" t="inlineStr">
        <is>
          <t>IP</t>
        </is>
      </c>
      <c r="C77" s="24" t="inlineStr">
        <is>
          <t>Infectious and parasitic diseases</t>
        </is>
      </c>
      <c r="D77" s="25" t="n">
        <v>1240</v>
      </c>
      <c r="E77" s="26" t="n">
        <v>16689990</v>
      </c>
    </row>
    <row r="78">
      <c r="A78" s="24" t="n">
        <v>2009</v>
      </c>
      <c r="B78" s="24" t="inlineStr">
        <is>
          <t>IP</t>
        </is>
      </c>
      <c r="C78" s="24" t="inlineStr">
        <is>
          <t>Neoplasms</t>
        </is>
      </c>
      <c r="D78" s="25" t="n">
        <v>1124</v>
      </c>
      <c r="E78" s="26" t="n">
        <v>13989510</v>
      </c>
    </row>
    <row r="79">
      <c r="A79" s="24" t="n">
        <v>2009</v>
      </c>
      <c r="B79" s="24" t="inlineStr">
        <is>
          <t>IP</t>
        </is>
      </c>
      <c r="C79" s="24" t="inlineStr">
        <is>
          <t>Supplementary factors (V codes)</t>
        </is>
      </c>
      <c r="D79" s="25" t="n">
        <v>875</v>
      </c>
      <c r="E79" s="26" t="n">
        <v>13284100</v>
      </c>
    </row>
    <row r="80">
      <c r="A80" s="24" t="n">
        <v>2009</v>
      </c>
      <c r="B80" s="24" t="inlineStr">
        <is>
          <t>IP</t>
        </is>
      </c>
      <c r="C80" s="24" t="inlineStr">
        <is>
          <t>Genitourinary system</t>
        </is>
      </c>
      <c r="D80" s="25" t="n">
        <v>1454</v>
      </c>
      <c r="E80" s="26" t="n">
        <v>9529400</v>
      </c>
    </row>
    <row r="81">
      <c r="A81" s="24" t="n">
        <v>2009</v>
      </c>
      <c r="B81" s="24" t="inlineStr">
        <is>
          <t>IP</t>
        </is>
      </c>
      <c r="C81" s="24" t="inlineStr">
        <is>
          <t>Mental disorders</t>
        </is>
      </c>
      <c r="D81" s="25" t="n">
        <v>1104</v>
      </c>
      <c r="E81" s="26" t="n">
        <v>7483710</v>
      </c>
    </row>
    <row r="82">
      <c r="A82" s="24" t="n">
        <v>2009</v>
      </c>
      <c r="B82" s="24" t="inlineStr">
        <is>
          <t>IP</t>
        </is>
      </c>
      <c r="C82" s="24" t="inlineStr">
        <is>
          <t>Endocrine, nutritional, metabolic and immunity disorders</t>
        </is>
      </c>
      <c r="D82" s="25" t="n">
        <v>1032</v>
      </c>
      <c r="E82" s="26" t="n">
        <v>7265590</v>
      </c>
    </row>
    <row r="83">
      <c r="A83" s="24" t="n">
        <v>2009</v>
      </c>
      <c r="B83" s="24" t="inlineStr">
        <is>
          <t>IP</t>
        </is>
      </c>
      <c r="C83" s="24" t="inlineStr">
        <is>
          <t>Symptoms, signs and ill-defined conditions</t>
        </is>
      </c>
      <c r="D83" s="25" t="n">
        <v>1307</v>
      </c>
      <c r="E83" s="26" t="n">
        <v>5870340</v>
      </c>
    </row>
    <row r="84">
      <c r="A84" s="24" t="n">
        <v>2009</v>
      </c>
      <c r="B84" s="24" t="inlineStr">
        <is>
          <t>IP</t>
        </is>
      </c>
      <c r="C84" s="24" t="inlineStr">
        <is>
          <t>Nervous system and sense organs</t>
        </is>
      </c>
      <c r="D84" s="25" t="n">
        <v>538</v>
      </c>
      <c r="E84" s="26" t="n">
        <v>4341700</v>
      </c>
    </row>
    <row r="85">
      <c r="A85" s="24" t="n">
        <v>2009</v>
      </c>
      <c r="B85" s="24" t="inlineStr">
        <is>
          <t>IP</t>
        </is>
      </c>
      <c r="C85" s="24" t="inlineStr">
        <is>
          <t>Skin and subcutaneous tissue</t>
        </is>
      </c>
      <c r="D85" s="25" t="n">
        <v>458</v>
      </c>
      <c r="E85" s="26" t="n">
        <v>3510600</v>
      </c>
    </row>
    <row r="86">
      <c r="A86" s="24" t="n">
        <v>2009</v>
      </c>
      <c r="B86" s="24" t="inlineStr">
        <is>
          <t>IP</t>
        </is>
      </c>
      <c r="C86" s="24" t="inlineStr">
        <is>
          <t>Diseases of the blood</t>
        </is>
      </c>
      <c r="D86" s="25" t="n">
        <v>317</v>
      </c>
      <c r="E86" s="26" t="n">
        <v>1998000</v>
      </c>
    </row>
    <row r="87">
      <c r="A87" s="24" t="n">
        <v>2009</v>
      </c>
      <c r="B87" s="24" t="inlineStr">
        <is>
          <t>IP</t>
        </is>
      </c>
      <c r="C87" s="24" t="inlineStr">
        <is>
          <t>Congenital anomalies</t>
        </is>
      </c>
      <c r="D87" s="25" t="n">
        <v>23</v>
      </c>
      <c r="E87" s="26" t="n">
        <v>497000</v>
      </c>
    </row>
    <row r="88">
      <c r="A88" s="24" t="n">
        <v>2009</v>
      </c>
      <c r="B88" s="24" t="inlineStr">
        <is>
          <t>IP</t>
        </is>
      </c>
      <c r="C88" s="24" t="inlineStr">
        <is>
          <t>Unclassified</t>
        </is>
      </c>
      <c r="D88" s="25" t="n">
        <v>13</v>
      </c>
      <c r="E88" s="26" t="n">
        <v>364000</v>
      </c>
    </row>
    <row r="89">
      <c r="A89" s="24" t="n">
        <v>2009</v>
      </c>
      <c r="B89" s="24" t="inlineStr">
        <is>
          <t>IP</t>
        </is>
      </c>
      <c r="C89" s="24" t="inlineStr">
        <is>
          <t>Pregnancy and childbirth</t>
        </is>
      </c>
      <c r="D89" s="25" t="n">
        <v>23</v>
      </c>
      <c r="E89" s="26" t="n">
        <v>88200</v>
      </c>
    </row>
    <row r="90">
      <c r="A90" s="24" t="n">
        <v>2009</v>
      </c>
      <c r="B90" s="24" t="inlineStr">
        <is>
          <t>OP</t>
        </is>
      </c>
      <c r="C90" s="24" t="inlineStr">
        <is>
          <t>Supplementary factors (V codes)</t>
        </is>
      </c>
      <c r="D90" s="25" t="n">
        <v>66267</v>
      </c>
      <c r="E90" s="26" t="n">
        <v>23123140</v>
      </c>
    </row>
    <row r="91">
      <c r="A91" s="24" t="n">
        <v>2009</v>
      </c>
      <c r="B91" s="24" t="inlineStr">
        <is>
          <t>OP</t>
        </is>
      </c>
      <c r="C91" s="24" t="inlineStr">
        <is>
          <t>Circulatory system</t>
        </is>
      </c>
      <c r="D91" s="25" t="n">
        <v>46992</v>
      </c>
      <c r="E91" s="26" t="n">
        <v>9796680</v>
      </c>
    </row>
    <row r="92">
      <c r="A92" s="24" t="n">
        <v>2009</v>
      </c>
      <c r="B92" s="24" t="inlineStr">
        <is>
          <t>OP</t>
        </is>
      </c>
      <c r="C92" s="24" t="inlineStr">
        <is>
          <t>Genitourinary system</t>
        </is>
      </c>
      <c r="D92" s="25" t="n">
        <v>17298</v>
      </c>
      <c r="E92" s="26" t="n">
        <v>9777730</v>
      </c>
    </row>
    <row r="93">
      <c r="A93" s="24" t="n">
        <v>2009</v>
      </c>
      <c r="B93" s="24" t="inlineStr">
        <is>
          <t>OP</t>
        </is>
      </c>
      <c r="C93" s="24" t="inlineStr">
        <is>
          <t>Symptoms, signs and ill-defined conditions</t>
        </is>
      </c>
      <c r="D93" s="25" t="n">
        <v>34757</v>
      </c>
      <c r="E93" s="26" t="n">
        <v>9690680</v>
      </c>
    </row>
    <row r="94">
      <c r="A94" s="24" t="n">
        <v>2009</v>
      </c>
      <c r="B94" s="24" t="inlineStr">
        <is>
          <t>OP</t>
        </is>
      </c>
      <c r="C94" s="24" t="inlineStr">
        <is>
          <t>Musculoskeletal system</t>
        </is>
      </c>
      <c r="D94" s="25" t="n">
        <v>32764</v>
      </c>
      <c r="E94" s="26" t="n">
        <v>8204020</v>
      </c>
    </row>
    <row r="95">
      <c r="A95" s="24" t="n">
        <v>2009</v>
      </c>
      <c r="B95" s="24" t="inlineStr">
        <is>
          <t>OP</t>
        </is>
      </c>
      <c r="C95" s="24" t="inlineStr">
        <is>
          <t>Neoplasms</t>
        </is>
      </c>
      <c r="D95" s="25" t="n">
        <v>17155</v>
      </c>
      <c r="E95" s="26" t="n">
        <v>7078640</v>
      </c>
    </row>
    <row r="96">
      <c r="A96" s="24" t="n">
        <v>2009</v>
      </c>
      <c r="B96" s="24" t="inlineStr">
        <is>
          <t>OP</t>
        </is>
      </c>
      <c r="C96" s="24" t="inlineStr">
        <is>
          <t>Nervous system and sense organs</t>
        </is>
      </c>
      <c r="D96" s="25" t="n">
        <v>15415</v>
      </c>
      <c r="E96" s="26" t="n">
        <v>5606560</v>
      </c>
    </row>
    <row r="97">
      <c r="A97" s="24" t="n">
        <v>2009</v>
      </c>
      <c r="B97" s="24" t="inlineStr">
        <is>
          <t>OP</t>
        </is>
      </c>
      <c r="C97" s="24" t="inlineStr">
        <is>
          <t>Injury and poisoning</t>
        </is>
      </c>
      <c r="D97" s="25" t="n">
        <v>13692</v>
      </c>
      <c r="E97" s="26" t="n">
        <v>5230630</v>
      </c>
    </row>
    <row r="98">
      <c r="A98" s="24" t="n">
        <v>2009</v>
      </c>
      <c r="B98" s="24" t="inlineStr">
        <is>
          <t>OP</t>
        </is>
      </c>
      <c r="C98" s="24" t="inlineStr">
        <is>
          <t>Digestive system</t>
        </is>
      </c>
      <c r="D98" s="25" t="n">
        <v>10470</v>
      </c>
      <c r="E98" s="26" t="n">
        <v>4448410</v>
      </c>
    </row>
    <row r="99">
      <c r="A99" s="24" t="n">
        <v>2009</v>
      </c>
      <c r="B99" s="24" t="inlineStr">
        <is>
          <t>OP</t>
        </is>
      </c>
      <c r="C99" s="24" t="inlineStr">
        <is>
          <t>Endocrine, nutritional, metabolic and immunity disorders</t>
        </is>
      </c>
      <c r="D99" s="25" t="n">
        <v>24716</v>
      </c>
      <c r="E99" s="26" t="n">
        <v>2791980</v>
      </c>
    </row>
    <row r="100">
      <c r="A100" s="24" t="n">
        <v>2009</v>
      </c>
      <c r="B100" s="24" t="inlineStr">
        <is>
          <t>OP</t>
        </is>
      </c>
      <c r="C100" s="24" t="inlineStr">
        <is>
          <t>Respiratory system</t>
        </is>
      </c>
      <c r="D100" s="25" t="n">
        <v>13952</v>
      </c>
      <c r="E100" s="26" t="n">
        <v>2568920</v>
      </c>
    </row>
    <row r="101">
      <c r="A101" s="24" t="n">
        <v>2009</v>
      </c>
      <c r="B101" s="24" t="inlineStr">
        <is>
          <t>OP</t>
        </is>
      </c>
      <c r="C101" s="24" t="inlineStr">
        <is>
          <t>Mental disorders</t>
        </is>
      </c>
      <c r="D101" s="25" t="n">
        <v>8740</v>
      </c>
      <c r="E101" s="26" t="n">
        <v>2248890</v>
      </c>
    </row>
    <row r="102">
      <c r="A102" s="24" t="n">
        <v>2009</v>
      </c>
      <c r="B102" s="24" t="inlineStr">
        <is>
          <t>OP</t>
        </is>
      </c>
      <c r="C102" s="24" t="inlineStr">
        <is>
          <t>Diseases of the blood</t>
        </is>
      </c>
      <c r="D102" s="25" t="n">
        <v>9313</v>
      </c>
      <c r="E102" s="26" t="n">
        <v>1704750</v>
      </c>
    </row>
    <row r="103">
      <c r="A103" s="24" t="n">
        <v>2009</v>
      </c>
      <c r="B103" s="24" t="inlineStr">
        <is>
          <t>OP</t>
        </is>
      </c>
      <c r="C103" s="24" t="inlineStr">
        <is>
          <t>Skin and subcutaneous tissue</t>
        </is>
      </c>
      <c r="D103" s="25" t="n">
        <v>6124</v>
      </c>
      <c r="E103" s="26" t="n">
        <v>973520</v>
      </c>
    </row>
    <row r="104">
      <c r="A104" s="24" t="n">
        <v>2009</v>
      </c>
      <c r="B104" s="24" t="inlineStr">
        <is>
          <t>OP</t>
        </is>
      </c>
      <c r="C104" s="24" t="inlineStr">
        <is>
          <t>Infectious and parasitic diseases</t>
        </is>
      </c>
      <c r="D104" s="25" t="n">
        <v>4046</v>
      </c>
      <c r="E104" s="26" t="n">
        <v>737740</v>
      </c>
    </row>
    <row r="105">
      <c r="A105" s="24" t="n">
        <v>2009</v>
      </c>
      <c r="B105" s="24" t="inlineStr">
        <is>
          <t>OP</t>
        </is>
      </c>
      <c r="C105" s="24" t="inlineStr">
        <is>
          <t>Congenital anomalies</t>
        </is>
      </c>
      <c r="D105" s="25" t="n">
        <v>412</v>
      </c>
      <c r="E105" s="26" t="n">
        <v>120410</v>
      </c>
    </row>
    <row r="106">
      <c r="A106" s="24" t="n">
        <v>2009</v>
      </c>
      <c r="B106" s="24" t="inlineStr">
        <is>
          <t>OP</t>
        </is>
      </c>
      <c r="C106" s="24" t="inlineStr">
        <is>
          <t>Pregnancy and childbirth</t>
        </is>
      </c>
      <c r="D106" s="25" t="n">
        <v>190</v>
      </c>
      <c r="E106" s="26" t="n">
        <v>36370</v>
      </c>
    </row>
    <row r="107">
      <c r="A107" s="24" t="n">
        <v>2009</v>
      </c>
      <c r="B107" s="24" t="inlineStr">
        <is>
          <t>OP</t>
        </is>
      </c>
      <c r="C107" s="24" t="inlineStr">
        <is>
          <t>External causes of injury (E codes)</t>
        </is>
      </c>
      <c r="D107" s="25" t="n">
        <v>22</v>
      </c>
      <c r="E107" s="26" t="n">
        <v>7070</v>
      </c>
    </row>
    <row r="108">
      <c r="A108" s="24" t="n">
        <v>2009</v>
      </c>
      <c r="B108" s="24" t="inlineStr">
        <is>
          <t>OP</t>
        </is>
      </c>
      <c r="C108" s="24" t="inlineStr">
        <is>
          <t>Perinatal conditions</t>
        </is>
      </c>
      <c r="D108" s="25" t="n">
        <v>20</v>
      </c>
      <c r="E108" s="26" t="n">
        <v>5090</v>
      </c>
    </row>
    <row r="109">
      <c r="A109" s="24" t="n">
        <v>2009</v>
      </c>
      <c r="B109" s="24" t="inlineStr">
        <is>
          <t>OP</t>
        </is>
      </c>
      <c r="C109" s="24" t="inlineStr">
        <is>
          <t>Unclassified</t>
        </is>
      </c>
      <c r="D109" s="25" t="n">
        <v>13</v>
      </c>
      <c r="E109" s="26" t="n">
        <v>2780</v>
      </c>
    </row>
    <row r="110">
      <c r="A110" s="24" t="n">
        <v>2010</v>
      </c>
      <c r="B110" s="24" t="inlineStr">
        <is>
          <t>IP</t>
        </is>
      </c>
      <c r="C110" s="24" t="inlineStr">
        <is>
          <t>Circulatory system</t>
        </is>
      </c>
      <c r="D110" s="25" t="n">
        <v>3217</v>
      </c>
      <c r="E110" s="26" t="n">
        <v>33701210</v>
      </c>
    </row>
    <row r="111">
      <c r="A111" s="24" t="n">
        <v>2010</v>
      </c>
      <c r="B111" s="24" t="inlineStr">
        <is>
          <t>IP</t>
        </is>
      </c>
      <c r="C111" s="24" t="inlineStr">
        <is>
          <t>Injury and poisoning</t>
        </is>
      </c>
      <c r="D111" s="25" t="n">
        <v>1269</v>
      </c>
      <c r="E111" s="26" t="n">
        <v>14586700</v>
      </c>
    </row>
    <row r="112">
      <c r="A112" s="24" t="n">
        <v>2010</v>
      </c>
      <c r="B112" s="24" t="inlineStr">
        <is>
          <t>IP</t>
        </is>
      </c>
      <c r="C112" s="24" t="inlineStr">
        <is>
          <t>Respiratory system</t>
        </is>
      </c>
      <c r="D112" s="25" t="n">
        <v>1585</v>
      </c>
      <c r="E112" s="26" t="n">
        <v>14452400</v>
      </c>
    </row>
    <row r="113">
      <c r="A113" s="24" t="n">
        <v>2010</v>
      </c>
      <c r="B113" s="24" t="inlineStr">
        <is>
          <t>IP</t>
        </is>
      </c>
      <c r="C113" s="24" t="inlineStr">
        <is>
          <t>Musculoskeletal system</t>
        </is>
      </c>
      <c r="D113" s="25" t="n">
        <v>1058</v>
      </c>
      <c r="E113" s="26" t="n">
        <v>12668500</v>
      </c>
    </row>
    <row r="114">
      <c r="A114" s="24" t="n">
        <v>2010</v>
      </c>
      <c r="B114" s="24" t="inlineStr">
        <is>
          <t>IP</t>
        </is>
      </c>
      <c r="C114" s="24" t="inlineStr">
        <is>
          <t>Digestive system</t>
        </is>
      </c>
      <c r="D114" s="25" t="n">
        <v>1270</v>
      </c>
      <c r="E114" s="26" t="n">
        <v>10768900</v>
      </c>
    </row>
    <row r="115">
      <c r="A115" s="24" t="n">
        <v>2010</v>
      </c>
      <c r="B115" s="24" t="inlineStr">
        <is>
          <t>IP</t>
        </is>
      </c>
      <c r="C115" s="24" t="inlineStr">
        <is>
          <t>Infectious and parasitic diseases</t>
        </is>
      </c>
      <c r="D115" s="25" t="n">
        <v>706</v>
      </c>
      <c r="E115" s="26" t="n">
        <v>9217030</v>
      </c>
    </row>
    <row r="116">
      <c r="A116" s="24" t="n">
        <v>2010</v>
      </c>
      <c r="B116" s="24" t="inlineStr">
        <is>
          <t>IP</t>
        </is>
      </c>
      <c r="C116" s="24" t="inlineStr">
        <is>
          <t>Neoplasms</t>
        </is>
      </c>
      <c r="D116" s="25" t="n">
        <v>587</v>
      </c>
      <c r="E116" s="26" t="n">
        <v>7666000</v>
      </c>
    </row>
    <row r="117">
      <c r="A117" s="24" t="n">
        <v>2010</v>
      </c>
      <c r="B117" s="24" t="inlineStr">
        <is>
          <t>IP</t>
        </is>
      </c>
      <c r="C117" s="24" t="inlineStr">
        <is>
          <t>Supplementary factors (V codes)</t>
        </is>
      </c>
      <c r="D117" s="25" t="n">
        <v>449</v>
      </c>
      <c r="E117" s="26" t="n">
        <v>6796900</v>
      </c>
    </row>
    <row r="118">
      <c r="A118" s="24" t="n">
        <v>2010</v>
      </c>
      <c r="B118" s="24" t="inlineStr">
        <is>
          <t>IP</t>
        </is>
      </c>
      <c r="C118" s="24" t="inlineStr">
        <is>
          <t>Genitourinary system</t>
        </is>
      </c>
      <c r="D118" s="25" t="n">
        <v>770</v>
      </c>
      <c r="E118" s="26" t="n">
        <v>5221100</v>
      </c>
    </row>
    <row r="119">
      <c r="A119" s="24" t="n">
        <v>2010</v>
      </c>
      <c r="B119" s="24" t="inlineStr">
        <is>
          <t>IP</t>
        </is>
      </c>
      <c r="C119" s="24" t="inlineStr">
        <is>
          <t>Mental disorders</t>
        </is>
      </c>
      <c r="D119" s="25" t="n">
        <v>576</v>
      </c>
      <c r="E119" s="26" t="n">
        <v>4252610</v>
      </c>
    </row>
    <row r="120">
      <c r="A120" s="24" t="n">
        <v>2010</v>
      </c>
      <c r="B120" s="24" t="inlineStr">
        <is>
          <t>IP</t>
        </is>
      </c>
      <c r="C120" s="24" t="inlineStr">
        <is>
          <t>Endocrine, nutritional, metabolic and immunity disorders</t>
        </is>
      </c>
      <c r="D120" s="25" t="n">
        <v>526</v>
      </c>
      <c r="E120" s="26" t="n">
        <v>3685300</v>
      </c>
    </row>
    <row r="121">
      <c r="A121" s="24" t="n">
        <v>2010</v>
      </c>
      <c r="B121" s="24" t="inlineStr">
        <is>
          <t>IP</t>
        </is>
      </c>
      <c r="C121" s="24" t="inlineStr">
        <is>
          <t>Symptoms, signs and ill-defined conditions</t>
        </is>
      </c>
      <c r="D121" s="25" t="n">
        <v>736</v>
      </c>
      <c r="E121" s="26" t="n">
        <v>3276280</v>
      </c>
    </row>
    <row r="122">
      <c r="A122" s="24" t="n">
        <v>2010</v>
      </c>
      <c r="B122" s="24" t="inlineStr">
        <is>
          <t>IP</t>
        </is>
      </c>
      <c r="C122" s="24" t="inlineStr">
        <is>
          <t>Nervous system and sense organs</t>
        </is>
      </c>
      <c r="D122" s="25" t="n">
        <v>341</v>
      </c>
      <c r="E122" s="26" t="n">
        <v>2915800</v>
      </c>
    </row>
    <row r="123">
      <c r="A123" s="24" t="n">
        <v>2010</v>
      </c>
      <c r="B123" s="24" t="inlineStr">
        <is>
          <t>IP</t>
        </is>
      </c>
      <c r="C123" s="24" t="inlineStr">
        <is>
          <t>Skin and subcutaneous tissue</t>
        </is>
      </c>
      <c r="D123" s="25" t="n">
        <v>260</v>
      </c>
      <c r="E123" s="26" t="n">
        <v>2164000</v>
      </c>
    </row>
    <row r="124">
      <c r="A124" s="24" t="n">
        <v>2010</v>
      </c>
      <c r="B124" s="24" t="inlineStr">
        <is>
          <t>IP</t>
        </is>
      </c>
      <c r="C124" s="24" t="inlineStr">
        <is>
          <t>Diseases of the blood</t>
        </is>
      </c>
      <c r="D124" s="25" t="n">
        <v>186</v>
      </c>
      <c r="E124" s="26" t="n">
        <v>1215600</v>
      </c>
    </row>
    <row r="125">
      <c r="A125" s="24" t="n">
        <v>2010</v>
      </c>
      <c r="B125" s="24" t="inlineStr">
        <is>
          <t>IP</t>
        </is>
      </c>
      <c r="C125" s="24" t="inlineStr">
        <is>
          <t>Congenital anomalies</t>
        </is>
      </c>
      <c r="D125" s="25" t="n">
        <v>11</v>
      </c>
      <c r="E125" s="26" t="n">
        <v>239000</v>
      </c>
    </row>
    <row r="126">
      <c r="A126" s="24" t="n">
        <v>2010</v>
      </c>
      <c r="B126" s="24" t="inlineStr">
        <is>
          <t>IP</t>
        </is>
      </c>
      <c r="C126" s="24" t="inlineStr">
        <is>
          <t>Pregnancy and childbirth</t>
        </is>
      </c>
      <c r="D126" s="25" t="n">
        <v>19</v>
      </c>
      <c r="E126" s="26" t="n">
        <v>60000</v>
      </c>
    </row>
    <row r="127">
      <c r="A127" s="24" t="n">
        <v>2010</v>
      </c>
      <c r="B127" s="24" t="inlineStr">
        <is>
          <t>IP</t>
        </is>
      </c>
      <c r="C127" s="24" t="inlineStr">
        <is>
          <t>Unclassified</t>
        </is>
      </c>
      <c r="D127" s="25" t="n">
        <v>6</v>
      </c>
      <c r="E127" s="26" t="n">
        <v>54000</v>
      </c>
    </row>
    <row r="128">
      <c r="A128" s="24" t="n">
        <v>2010</v>
      </c>
      <c r="B128" s="24" t="inlineStr">
        <is>
          <t>OP</t>
        </is>
      </c>
      <c r="C128" s="24" t="inlineStr">
        <is>
          <t>Supplementary factors (V codes)</t>
        </is>
      </c>
      <c r="D128" s="25" t="n">
        <v>35241</v>
      </c>
      <c r="E128" s="26" t="n">
        <v>12454670</v>
      </c>
    </row>
    <row r="129">
      <c r="A129" s="24" t="n">
        <v>2010</v>
      </c>
      <c r="B129" s="24" t="inlineStr">
        <is>
          <t>OP</t>
        </is>
      </c>
      <c r="C129" s="24" t="inlineStr">
        <is>
          <t>Circulatory system</t>
        </is>
      </c>
      <c r="D129" s="25" t="n">
        <v>25965</v>
      </c>
      <c r="E129" s="26" t="n">
        <v>5478300</v>
      </c>
    </row>
    <row r="130">
      <c r="A130" s="24" t="n">
        <v>2010</v>
      </c>
      <c r="B130" s="24" t="inlineStr">
        <is>
          <t>OP</t>
        </is>
      </c>
      <c r="C130" s="24" t="inlineStr">
        <is>
          <t>Genitourinary system</t>
        </is>
      </c>
      <c r="D130" s="25" t="n">
        <v>9453</v>
      </c>
      <c r="E130" s="26" t="n">
        <v>5377480</v>
      </c>
    </row>
    <row r="131">
      <c r="A131" s="24" t="n">
        <v>2010</v>
      </c>
      <c r="B131" s="24" t="inlineStr">
        <is>
          <t>OP</t>
        </is>
      </c>
      <c r="C131" s="24" t="inlineStr">
        <is>
          <t>Symptoms, signs and ill-defined conditions</t>
        </is>
      </c>
      <c r="D131" s="25" t="n">
        <v>18733</v>
      </c>
      <c r="E131" s="26" t="n">
        <v>5369300</v>
      </c>
    </row>
    <row r="132">
      <c r="A132" s="24" t="n">
        <v>2010</v>
      </c>
      <c r="B132" s="24" t="inlineStr">
        <is>
          <t>OP</t>
        </is>
      </c>
      <c r="C132" s="24" t="inlineStr">
        <is>
          <t>Musculoskeletal system</t>
        </is>
      </c>
      <c r="D132" s="25" t="n">
        <v>17241</v>
      </c>
      <c r="E132" s="26" t="n">
        <v>4368180</v>
      </c>
    </row>
    <row r="133">
      <c r="A133" s="24" t="n">
        <v>2010</v>
      </c>
      <c r="B133" s="24" t="inlineStr">
        <is>
          <t>OP</t>
        </is>
      </c>
      <c r="C133" s="24" t="inlineStr">
        <is>
          <t>Neoplasms</t>
        </is>
      </c>
      <c r="D133" s="25" t="n">
        <v>9416</v>
      </c>
      <c r="E133" s="26" t="n">
        <v>3891030</v>
      </c>
    </row>
    <row r="134">
      <c r="A134" s="24" t="n">
        <v>2010</v>
      </c>
      <c r="B134" s="24" t="inlineStr">
        <is>
          <t>OP</t>
        </is>
      </c>
      <c r="C134" s="24" t="inlineStr">
        <is>
          <t>Nervous system and sense organs</t>
        </is>
      </c>
      <c r="D134" s="25" t="n">
        <v>8596</v>
      </c>
      <c r="E134" s="26" t="n">
        <v>3013020</v>
      </c>
    </row>
    <row r="135">
      <c r="A135" s="24" t="n">
        <v>2010</v>
      </c>
      <c r="B135" s="24" t="inlineStr">
        <is>
          <t>OP</t>
        </is>
      </c>
      <c r="C135" s="24" t="inlineStr">
        <is>
          <t>Injury and poisoning</t>
        </is>
      </c>
      <c r="D135" s="25" t="n">
        <v>7294</v>
      </c>
      <c r="E135" s="26" t="n">
        <v>2782660</v>
      </c>
    </row>
    <row r="136">
      <c r="A136" s="24" t="n">
        <v>2010</v>
      </c>
      <c r="B136" s="24" t="inlineStr">
        <is>
          <t>OP</t>
        </is>
      </c>
      <c r="C136" s="24" t="inlineStr">
        <is>
          <t>Digestive system</t>
        </is>
      </c>
      <c r="D136" s="25" t="n">
        <v>5526</v>
      </c>
      <c r="E136" s="26" t="n">
        <v>2286710</v>
      </c>
    </row>
    <row r="137">
      <c r="A137" s="24" t="n">
        <v>2010</v>
      </c>
      <c r="B137" s="24" t="inlineStr">
        <is>
          <t>OP</t>
        </is>
      </c>
      <c r="C137" s="24" t="inlineStr">
        <is>
          <t>Endocrine, nutritional, metabolic and immunity disorders</t>
        </is>
      </c>
      <c r="D137" s="25" t="n">
        <v>13347</v>
      </c>
      <c r="E137" s="26" t="n">
        <v>1571170</v>
      </c>
    </row>
    <row r="138">
      <c r="A138" s="24" t="n">
        <v>2010</v>
      </c>
      <c r="B138" s="24" t="inlineStr">
        <is>
          <t>OP</t>
        </is>
      </c>
      <c r="C138" s="24" t="inlineStr">
        <is>
          <t>Respiratory system</t>
        </is>
      </c>
      <c r="D138" s="25" t="n">
        <v>7401</v>
      </c>
      <c r="E138" s="26" t="n">
        <v>1444400</v>
      </c>
    </row>
    <row r="139">
      <c r="A139" s="24" t="n">
        <v>2010</v>
      </c>
      <c r="B139" s="24" t="inlineStr">
        <is>
          <t>OP</t>
        </is>
      </c>
      <c r="C139" s="24" t="inlineStr">
        <is>
          <t>Mental disorders</t>
        </is>
      </c>
      <c r="D139" s="25" t="n">
        <v>4692</v>
      </c>
      <c r="E139" s="26" t="n">
        <v>1172200</v>
      </c>
    </row>
    <row r="140">
      <c r="A140" s="24" t="n">
        <v>2010</v>
      </c>
      <c r="B140" s="24" t="inlineStr">
        <is>
          <t>OP</t>
        </is>
      </c>
      <c r="C140" s="24" t="inlineStr">
        <is>
          <t>Diseases of the blood</t>
        </is>
      </c>
      <c r="D140" s="25" t="n">
        <v>5089</v>
      </c>
      <c r="E140" s="26" t="n">
        <v>931780</v>
      </c>
    </row>
    <row r="141">
      <c r="A141" s="24" t="n">
        <v>2010</v>
      </c>
      <c r="B141" s="24" t="inlineStr">
        <is>
          <t>OP</t>
        </is>
      </c>
      <c r="C141" s="24" t="inlineStr">
        <is>
          <t>Skin and subcutaneous tissue</t>
        </is>
      </c>
      <c r="D141" s="25" t="n">
        <v>3405</v>
      </c>
      <c r="E141" s="26" t="n">
        <v>544100</v>
      </c>
    </row>
    <row r="142">
      <c r="A142" s="24" t="n">
        <v>2010</v>
      </c>
      <c r="B142" s="24" t="inlineStr">
        <is>
          <t>OP</t>
        </is>
      </c>
      <c r="C142" s="24" t="inlineStr">
        <is>
          <t>Infectious and parasitic diseases</t>
        </is>
      </c>
      <c r="D142" s="25" t="n">
        <v>2205</v>
      </c>
      <c r="E142" s="26" t="n">
        <v>423780</v>
      </c>
    </row>
    <row r="143">
      <c r="A143" s="24" t="n">
        <v>2010</v>
      </c>
      <c r="B143" s="24" t="inlineStr">
        <is>
          <t>OP</t>
        </is>
      </c>
      <c r="C143" s="24" t="inlineStr">
        <is>
          <t>Congenital anomalies</t>
        </is>
      </c>
      <c r="D143" s="25" t="n">
        <v>215</v>
      </c>
      <c r="E143" s="26" t="n">
        <v>63480</v>
      </c>
    </row>
    <row r="144">
      <c r="A144" s="24" t="n">
        <v>2010</v>
      </c>
      <c r="B144" s="24" t="inlineStr">
        <is>
          <t>OP</t>
        </is>
      </c>
      <c r="C144" s="24" t="inlineStr">
        <is>
          <t>Pregnancy and childbirth</t>
        </is>
      </c>
      <c r="D144" s="25" t="n">
        <v>85</v>
      </c>
      <c r="E144" s="26" t="n">
        <v>19880</v>
      </c>
    </row>
    <row r="145">
      <c r="A145" s="24" t="n">
        <v>2010</v>
      </c>
      <c r="B145" s="24" t="inlineStr">
        <is>
          <t>OP</t>
        </is>
      </c>
      <c r="C145" s="24" t="inlineStr">
        <is>
          <t>Unclassified</t>
        </is>
      </c>
      <c r="D145" s="25" t="n">
        <v>28</v>
      </c>
      <c r="E145" s="26" t="n">
        <v>11810</v>
      </c>
    </row>
    <row r="146">
      <c r="A146" s="24" t="n">
        <v>2010</v>
      </c>
      <c r="B146" s="24" t="inlineStr">
        <is>
          <t>OP</t>
        </is>
      </c>
      <c r="C146" s="24" t="inlineStr">
        <is>
          <t>External causes of injury (E codes)</t>
        </is>
      </c>
      <c r="D146" s="25" t="n">
        <v>24</v>
      </c>
      <c r="E146" s="26" t="n">
        <v>8550</v>
      </c>
    </row>
    <row r="147">
      <c r="A147" s="24" t="n">
        <v>2010</v>
      </c>
      <c r="B147" s="24" t="inlineStr">
        <is>
          <t>OP</t>
        </is>
      </c>
      <c r="C147" s="24" t="inlineStr">
        <is>
          <t>Perinatal conditions</t>
        </is>
      </c>
      <c r="D147" s="25" t="n">
        <v>15</v>
      </c>
      <c r="E147" s="26" t="n">
        <v>2940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>
      <c r="A1" s="21" t="inlineStr">
        <is>
          <t>claim_year</t>
        </is>
      </c>
      <c r="B1" s="21" t="inlineStr">
        <is>
          <t>state_code</t>
        </is>
      </c>
      <c r="C1" s="21" t="inlineStr">
        <is>
          <t>claims</t>
        </is>
      </c>
      <c r="D1" s="21" t="inlineStr">
        <is>
          <t>patients</t>
        </is>
      </c>
      <c r="E1" s="21" t="inlineStr">
        <is>
          <t>total_payment</t>
        </is>
      </c>
    </row>
    <row r="2">
      <c r="A2" s="24" t="n">
        <v>2007</v>
      </c>
      <c r="B2" s="24" t="inlineStr">
        <is>
          <t>01</t>
        </is>
      </c>
      <c r="C2" s="25" t="n">
        <v>13</v>
      </c>
      <c r="D2" s="25" t="n">
        <v>12</v>
      </c>
      <c r="E2" s="26" t="n">
        <v>35690</v>
      </c>
    </row>
    <row r="3">
      <c r="A3" s="24" t="n">
        <v>2007</v>
      </c>
      <c r="B3" s="24" t="inlineStr">
        <is>
          <t>02</t>
        </is>
      </c>
      <c r="C3" s="25" t="n">
        <v>1</v>
      </c>
      <c r="D3" s="25" t="n">
        <v>1</v>
      </c>
      <c r="E3" s="26" t="n">
        <v>8000</v>
      </c>
    </row>
    <row r="4">
      <c r="A4" s="24" t="n">
        <v>2007</v>
      </c>
      <c r="B4" s="24" t="inlineStr">
        <is>
          <t>03</t>
        </is>
      </c>
      <c r="C4" s="25" t="n">
        <v>4</v>
      </c>
      <c r="D4" s="25" t="n">
        <v>4</v>
      </c>
      <c r="E4" s="26" t="n">
        <v>3410</v>
      </c>
    </row>
    <row r="5">
      <c r="A5" s="24" t="n">
        <v>2007</v>
      </c>
      <c r="B5" s="24" t="inlineStr">
        <is>
          <t>04</t>
        </is>
      </c>
      <c r="C5" s="25" t="n">
        <v>11</v>
      </c>
      <c r="D5" s="25" t="n">
        <v>10</v>
      </c>
      <c r="E5" s="26" t="n">
        <v>70910</v>
      </c>
    </row>
    <row r="6">
      <c r="A6" s="24" t="n">
        <v>2007</v>
      </c>
      <c r="B6" s="24" t="inlineStr">
        <is>
          <t>05</t>
        </is>
      </c>
      <c r="C6" s="25" t="n">
        <v>37</v>
      </c>
      <c r="D6" s="25" t="n">
        <v>35</v>
      </c>
      <c r="E6" s="26" t="n">
        <v>109080</v>
      </c>
    </row>
    <row r="7">
      <c r="A7" s="24" t="n">
        <v>2007</v>
      </c>
      <c r="B7" s="24" t="inlineStr">
        <is>
          <t>06</t>
        </is>
      </c>
      <c r="C7" s="25" t="n">
        <v>6</v>
      </c>
      <c r="D7" s="25" t="n">
        <v>5</v>
      </c>
      <c r="E7" s="26" t="n">
        <v>16020</v>
      </c>
    </row>
    <row r="8">
      <c r="A8" s="24" t="n">
        <v>2007</v>
      </c>
      <c r="B8" s="24" t="inlineStr">
        <is>
          <t>07</t>
        </is>
      </c>
      <c r="C8" s="25" t="n">
        <v>6</v>
      </c>
      <c r="D8" s="25" t="n">
        <v>6</v>
      </c>
      <c r="E8" s="26" t="n">
        <v>7370</v>
      </c>
    </row>
    <row r="9">
      <c r="A9" s="24" t="n">
        <v>2007</v>
      </c>
      <c r="B9" s="24" t="inlineStr">
        <is>
          <t>08</t>
        </is>
      </c>
      <c r="C9" s="25" t="n">
        <v>1</v>
      </c>
      <c r="D9" s="25" t="n">
        <v>1</v>
      </c>
      <c r="E9" s="26" t="n">
        <v>3400</v>
      </c>
    </row>
    <row r="10">
      <c r="A10" s="24" t="n">
        <v>2007</v>
      </c>
      <c r="B10" s="24" t="inlineStr">
        <is>
          <t>10</t>
        </is>
      </c>
      <c r="C10" s="25" t="n">
        <v>38</v>
      </c>
      <c r="D10" s="25" t="n">
        <v>37</v>
      </c>
      <c r="E10" s="26" t="n">
        <v>156540</v>
      </c>
    </row>
    <row r="11">
      <c r="A11" s="24" t="n">
        <v>2007</v>
      </c>
      <c r="B11" s="24" t="inlineStr">
        <is>
          <t>11</t>
        </is>
      </c>
      <c r="C11" s="25" t="n">
        <v>10</v>
      </c>
      <c r="D11" s="25" t="n">
        <v>10</v>
      </c>
      <c r="E11" s="26" t="n">
        <v>48260</v>
      </c>
    </row>
    <row r="12">
      <c r="A12" s="24" t="n">
        <v>2007</v>
      </c>
      <c r="B12" s="24" t="inlineStr">
        <is>
          <t>12</t>
        </is>
      </c>
      <c r="C12" s="25" t="n">
        <v>1</v>
      </c>
      <c r="D12" s="25" t="n">
        <v>1</v>
      </c>
      <c r="E12" s="26" t="n">
        <v>2000</v>
      </c>
    </row>
    <row r="13">
      <c r="A13" s="24" t="n">
        <v>2007</v>
      </c>
      <c r="B13" s="24" t="inlineStr">
        <is>
          <t>13</t>
        </is>
      </c>
      <c r="C13" s="25" t="n">
        <v>4</v>
      </c>
      <c r="D13" s="25" t="n">
        <v>4</v>
      </c>
      <c r="E13" s="26" t="n">
        <v>19400</v>
      </c>
    </row>
    <row r="14">
      <c r="A14" s="24" t="n">
        <v>2007</v>
      </c>
      <c r="B14" s="24" t="inlineStr">
        <is>
          <t>14</t>
        </is>
      </c>
      <c r="C14" s="25" t="n">
        <v>23</v>
      </c>
      <c r="D14" s="25" t="n">
        <v>20</v>
      </c>
      <c r="E14" s="26" t="n">
        <v>161300</v>
      </c>
    </row>
    <row r="15">
      <c r="A15" s="24" t="n">
        <v>2007</v>
      </c>
      <c r="B15" s="24" t="inlineStr">
        <is>
          <t>15</t>
        </is>
      </c>
      <c r="C15" s="25" t="n">
        <v>11</v>
      </c>
      <c r="D15" s="25" t="n">
        <v>11</v>
      </c>
      <c r="E15" s="26" t="n">
        <v>41860</v>
      </c>
    </row>
    <row r="16">
      <c r="A16" s="24" t="n">
        <v>2007</v>
      </c>
      <c r="B16" s="24" t="inlineStr">
        <is>
          <t>16</t>
        </is>
      </c>
      <c r="C16" s="25" t="n">
        <v>6</v>
      </c>
      <c r="D16" s="25" t="n">
        <v>6</v>
      </c>
      <c r="E16" s="26" t="n">
        <v>41090</v>
      </c>
    </row>
    <row r="17">
      <c r="A17" s="24" t="n">
        <v>2007</v>
      </c>
      <c r="B17" s="24" t="inlineStr">
        <is>
          <t>17</t>
        </is>
      </c>
      <c r="C17" s="25" t="n">
        <v>5</v>
      </c>
      <c r="D17" s="25" t="n">
        <v>5</v>
      </c>
      <c r="E17" s="26" t="n">
        <v>12130</v>
      </c>
    </row>
    <row r="18">
      <c r="A18" s="24" t="n">
        <v>2007</v>
      </c>
      <c r="B18" s="24" t="inlineStr">
        <is>
          <t>18</t>
        </is>
      </c>
      <c r="C18" s="25" t="n">
        <v>8</v>
      </c>
      <c r="D18" s="25" t="n">
        <v>8</v>
      </c>
      <c r="E18" s="26" t="n">
        <v>42460</v>
      </c>
    </row>
    <row r="19">
      <c r="A19" s="24" t="n">
        <v>2007</v>
      </c>
      <c r="B19" s="24" t="inlineStr">
        <is>
          <t>19</t>
        </is>
      </c>
      <c r="C19" s="25" t="n">
        <v>13</v>
      </c>
      <c r="D19" s="25" t="n">
        <v>12</v>
      </c>
      <c r="E19" s="26" t="n">
        <v>106660</v>
      </c>
    </row>
    <row r="20">
      <c r="A20" s="24" t="n">
        <v>2007</v>
      </c>
      <c r="B20" s="24" t="inlineStr">
        <is>
          <t>20</t>
        </is>
      </c>
      <c r="C20" s="25" t="n">
        <v>5</v>
      </c>
      <c r="D20" s="25" t="n">
        <v>5</v>
      </c>
      <c r="E20" s="26" t="n">
        <v>12390</v>
      </c>
    </row>
    <row r="21">
      <c r="A21" s="24" t="n">
        <v>2007</v>
      </c>
      <c r="B21" s="24" t="inlineStr">
        <is>
          <t>21</t>
        </is>
      </c>
      <c r="C21" s="25" t="n">
        <v>4</v>
      </c>
      <c r="D21" s="25" t="n">
        <v>4</v>
      </c>
      <c r="E21" s="26" t="n">
        <v>12240</v>
      </c>
    </row>
    <row r="22">
      <c r="A22" s="24" t="n">
        <v>2007</v>
      </c>
      <c r="B22" s="24" t="inlineStr">
        <is>
          <t>22</t>
        </is>
      </c>
      <c r="C22" s="25" t="n">
        <v>16</v>
      </c>
      <c r="D22" s="25" t="n">
        <v>14</v>
      </c>
      <c r="E22" s="26" t="n">
        <v>60390</v>
      </c>
    </row>
    <row r="23">
      <c r="A23" s="24" t="n">
        <v>2007</v>
      </c>
      <c r="B23" s="24" t="inlineStr">
        <is>
          <t>23</t>
        </is>
      </c>
      <c r="C23" s="25" t="n">
        <v>22</v>
      </c>
      <c r="D23" s="25" t="n">
        <v>21</v>
      </c>
      <c r="E23" s="26" t="n">
        <v>174990</v>
      </c>
    </row>
    <row r="24">
      <c r="A24" s="24" t="n">
        <v>2007</v>
      </c>
      <c r="B24" s="24" t="inlineStr">
        <is>
          <t>24</t>
        </is>
      </c>
      <c r="C24" s="25" t="n">
        <v>8</v>
      </c>
      <c r="D24" s="25" t="n">
        <v>8</v>
      </c>
      <c r="E24" s="26" t="n">
        <v>14280</v>
      </c>
    </row>
    <row r="25">
      <c r="A25" s="24" t="n">
        <v>2007</v>
      </c>
      <c r="B25" s="24" t="inlineStr">
        <is>
          <t>25</t>
        </is>
      </c>
      <c r="C25" s="25" t="n">
        <v>10</v>
      </c>
      <c r="D25" s="25" t="n">
        <v>9</v>
      </c>
      <c r="E25" s="26" t="n">
        <v>18950</v>
      </c>
    </row>
    <row r="26">
      <c r="A26" s="24" t="n">
        <v>2007</v>
      </c>
      <c r="B26" s="24" t="inlineStr">
        <is>
          <t>26</t>
        </is>
      </c>
      <c r="C26" s="25" t="n">
        <v>18</v>
      </c>
      <c r="D26" s="25" t="n">
        <v>18</v>
      </c>
      <c r="E26" s="26" t="n">
        <v>98940</v>
      </c>
    </row>
    <row r="27">
      <c r="A27" s="24" t="n">
        <v>2007</v>
      </c>
      <c r="B27" s="24" t="inlineStr">
        <is>
          <t>27</t>
        </is>
      </c>
      <c r="C27" s="25" t="n">
        <v>1</v>
      </c>
      <c r="D27" s="25" t="n">
        <v>1</v>
      </c>
      <c r="E27" s="26" t="n">
        <v>900</v>
      </c>
    </row>
    <row r="28">
      <c r="A28" s="24" t="n">
        <v>2007</v>
      </c>
      <c r="B28" s="24" t="inlineStr">
        <is>
          <t>28</t>
        </is>
      </c>
      <c r="C28" s="25" t="n">
        <v>5</v>
      </c>
      <c r="D28" s="25" t="n">
        <v>5</v>
      </c>
      <c r="E28" s="26" t="n">
        <v>19490</v>
      </c>
    </row>
    <row r="29">
      <c r="A29" s="24" t="n">
        <v>2007</v>
      </c>
      <c r="B29" s="24" t="inlineStr">
        <is>
          <t>29</t>
        </is>
      </c>
      <c r="C29" s="25" t="n">
        <v>7</v>
      </c>
      <c r="D29" s="25" t="n">
        <v>6</v>
      </c>
      <c r="E29" s="26" t="n">
        <v>34830</v>
      </c>
    </row>
    <row r="30">
      <c r="A30" s="24" t="n">
        <v>2007</v>
      </c>
      <c r="B30" s="24" t="inlineStr">
        <is>
          <t>31</t>
        </is>
      </c>
      <c r="C30" s="25" t="n">
        <v>16</v>
      </c>
      <c r="D30" s="25" t="n">
        <v>16</v>
      </c>
      <c r="E30" s="26" t="n">
        <v>126330</v>
      </c>
    </row>
    <row r="31">
      <c r="A31" s="24" t="n">
        <v>2007</v>
      </c>
      <c r="B31" s="24" t="inlineStr">
        <is>
          <t>32</t>
        </is>
      </c>
      <c r="C31" s="25" t="n">
        <v>4</v>
      </c>
      <c r="D31" s="25" t="n">
        <v>4</v>
      </c>
      <c r="E31" s="26" t="n">
        <v>9590</v>
      </c>
    </row>
    <row r="32">
      <c r="A32" s="24" t="n">
        <v>2007</v>
      </c>
      <c r="B32" s="24" t="inlineStr">
        <is>
          <t>33</t>
        </is>
      </c>
      <c r="C32" s="25" t="n">
        <v>27</v>
      </c>
      <c r="D32" s="25" t="n">
        <v>27</v>
      </c>
      <c r="E32" s="26" t="n">
        <v>264370</v>
      </c>
    </row>
    <row r="33">
      <c r="A33" s="24" t="n">
        <v>2007</v>
      </c>
      <c r="B33" s="24" t="inlineStr">
        <is>
          <t>34</t>
        </is>
      </c>
      <c r="C33" s="25" t="n">
        <v>18</v>
      </c>
      <c r="D33" s="25" t="n">
        <v>17</v>
      </c>
      <c r="E33" s="26" t="n">
        <v>150080</v>
      </c>
    </row>
    <row r="34">
      <c r="A34" s="24" t="n">
        <v>2007</v>
      </c>
      <c r="B34" s="24" t="inlineStr">
        <is>
          <t>36</t>
        </is>
      </c>
      <c r="C34" s="25" t="n">
        <v>21</v>
      </c>
      <c r="D34" s="25" t="n">
        <v>20</v>
      </c>
      <c r="E34" s="26" t="n">
        <v>137800</v>
      </c>
    </row>
    <row r="35">
      <c r="A35" s="24" t="n">
        <v>2007</v>
      </c>
      <c r="B35" s="24" t="inlineStr">
        <is>
          <t>37</t>
        </is>
      </c>
      <c r="C35" s="25" t="n">
        <v>8</v>
      </c>
      <c r="D35" s="25" t="n">
        <v>8</v>
      </c>
      <c r="E35" s="26" t="n">
        <v>90460</v>
      </c>
    </row>
    <row r="36">
      <c r="A36" s="24" t="n">
        <v>2007</v>
      </c>
      <c r="B36" s="24" t="inlineStr">
        <is>
          <t>38</t>
        </is>
      </c>
      <c r="C36" s="25" t="n">
        <v>4</v>
      </c>
      <c r="D36" s="25" t="n">
        <v>3</v>
      </c>
      <c r="E36" s="26" t="n">
        <v>4730</v>
      </c>
    </row>
    <row r="37">
      <c r="A37" s="24" t="n">
        <v>2007</v>
      </c>
      <c r="B37" s="24" t="inlineStr">
        <is>
          <t>39</t>
        </is>
      </c>
      <c r="C37" s="25" t="n">
        <v>20</v>
      </c>
      <c r="D37" s="25" t="n">
        <v>19</v>
      </c>
      <c r="E37" s="26" t="n">
        <v>154010</v>
      </c>
    </row>
    <row r="38">
      <c r="A38" s="24" t="n">
        <v>2007</v>
      </c>
      <c r="B38" s="24" t="inlineStr">
        <is>
          <t>41</t>
        </is>
      </c>
      <c r="C38" s="25" t="n">
        <v>2</v>
      </c>
      <c r="D38" s="25" t="n">
        <v>2</v>
      </c>
      <c r="E38" s="26" t="n">
        <v>27000</v>
      </c>
    </row>
    <row r="39">
      <c r="A39" s="24" t="n">
        <v>2007</v>
      </c>
      <c r="B39" s="24" t="inlineStr">
        <is>
          <t>42</t>
        </is>
      </c>
      <c r="C39" s="25" t="n">
        <v>11</v>
      </c>
      <c r="D39" s="25" t="n">
        <v>7</v>
      </c>
      <c r="E39" s="26" t="n">
        <v>166170</v>
      </c>
    </row>
    <row r="40">
      <c r="A40" s="24" t="n">
        <v>2007</v>
      </c>
      <c r="B40" s="24" t="inlineStr">
        <is>
          <t>43</t>
        </is>
      </c>
      <c r="C40" s="25" t="n">
        <v>3</v>
      </c>
      <c r="D40" s="25" t="n">
        <v>2</v>
      </c>
      <c r="E40" s="26" t="n">
        <v>4020</v>
      </c>
    </row>
    <row r="41">
      <c r="A41" s="24" t="n">
        <v>2007</v>
      </c>
      <c r="B41" s="24" t="inlineStr">
        <is>
          <t>44</t>
        </is>
      </c>
      <c r="C41" s="25" t="n">
        <v>16</v>
      </c>
      <c r="D41" s="25" t="n">
        <v>15</v>
      </c>
      <c r="E41" s="26" t="n">
        <v>102200</v>
      </c>
    </row>
    <row r="42">
      <c r="A42" s="24" t="n">
        <v>2007</v>
      </c>
      <c r="B42" s="24" t="inlineStr">
        <is>
          <t>45</t>
        </is>
      </c>
      <c r="C42" s="25" t="n">
        <v>46</v>
      </c>
      <c r="D42" s="25" t="n">
        <v>43</v>
      </c>
      <c r="E42" s="26" t="n">
        <v>297180</v>
      </c>
    </row>
    <row r="43">
      <c r="A43" s="24" t="n">
        <v>2007</v>
      </c>
      <c r="B43" s="24" t="inlineStr">
        <is>
          <t>46</t>
        </is>
      </c>
      <c r="C43" s="25" t="n">
        <v>5</v>
      </c>
      <c r="D43" s="25" t="n">
        <v>4</v>
      </c>
      <c r="E43" s="26" t="n">
        <v>14780</v>
      </c>
    </row>
    <row r="44">
      <c r="A44" s="24" t="n">
        <v>2007</v>
      </c>
      <c r="B44" s="24" t="inlineStr">
        <is>
          <t>47</t>
        </is>
      </c>
      <c r="C44" s="25" t="n">
        <v>2</v>
      </c>
      <c r="D44" s="25" t="n">
        <v>2</v>
      </c>
      <c r="E44" s="26" t="n">
        <v>9000</v>
      </c>
    </row>
    <row r="45">
      <c r="A45" s="24" t="n">
        <v>2007</v>
      </c>
      <c r="B45" s="24" t="inlineStr">
        <is>
          <t>49</t>
        </is>
      </c>
      <c r="C45" s="25" t="n">
        <v>9</v>
      </c>
      <c r="D45" s="25" t="n">
        <v>9</v>
      </c>
      <c r="E45" s="26" t="n">
        <v>37350</v>
      </c>
    </row>
    <row r="46">
      <c r="A46" s="24" t="n">
        <v>2007</v>
      </c>
      <c r="B46" s="24" t="inlineStr">
        <is>
          <t>50</t>
        </is>
      </c>
      <c r="C46" s="25" t="n">
        <v>15</v>
      </c>
      <c r="D46" s="25" t="n">
        <v>13</v>
      </c>
      <c r="E46" s="26" t="n">
        <v>77480</v>
      </c>
    </row>
    <row r="47">
      <c r="A47" s="24" t="n">
        <v>2007</v>
      </c>
      <c r="B47" s="24" t="inlineStr">
        <is>
          <t>51</t>
        </is>
      </c>
      <c r="C47" s="25" t="n">
        <v>3</v>
      </c>
      <c r="D47" s="25" t="n">
        <v>3</v>
      </c>
      <c r="E47" s="26" t="n">
        <v>16200</v>
      </c>
    </row>
    <row r="48">
      <c r="A48" s="24" t="n">
        <v>2007</v>
      </c>
      <c r="B48" s="24" t="inlineStr">
        <is>
          <t>52</t>
        </is>
      </c>
      <c r="C48" s="25" t="n">
        <v>8</v>
      </c>
      <c r="D48" s="25" t="n">
        <v>7</v>
      </c>
      <c r="E48" s="26" t="n">
        <v>87200</v>
      </c>
    </row>
    <row r="49">
      <c r="A49" s="24" t="n">
        <v>2007</v>
      </c>
      <c r="B49" s="24" t="inlineStr">
        <is>
          <t>54</t>
        </is>
      </c>
      <c r="C49" s="25" t="n">
        <v>4</v>
      </c>
      <c r="D49" s="25" t="n">
        <v>4</v>
      </c>
      <c r="E49" s="26" t="n">
        <v>5100</v>
      </c>
    </row>
    <row r="50">
      <c r="A50" s="24" t="n">
        <v>2008</v>
      </c>
      <c r="B50" s="24" t="inlineStr">
        <is>
          <t>01</t>
        </is>
      </c>
      <c r="C50" s="25" t="n">
        <v>5751</v>
      </c>
      <c r="D50" s="25" t="n">
        <v>1154</v>
      </c>
      <c r="E50" s="26" t="n">
        <v>6578480</v>
      </c>
    </row>
    <row r="51">
      <c r="A51" s="24" t="n">
        <v>2008</v>
      </c>
      <c r="B51" s="24" t="inlineStr">
        <is>
          <t>02</t>
        </is>
      </c>
      <c r="C51" s="25" t="n">
        <v>371</v>
      </c>
      <c r="D51" s="25" t="n">
        <v>89</v>
      </c>
      <c r="E51" s="26" t="n">
        <v>322140</v>
      </c>
    </row>
    <row r="52">
      <c r="A52" s="24" t="n">
        <v>2008</v>
      </c>
      <c r="B52" s="24" t="inlineStr">
        <is>
          <t>03</t>
        </is>
      </c>
      <c r="C52" s="25" t="n">
        <v>5019</v>
      </c>
      <c r="D52" s="25" t="n">
        <v>1054</v>
      </c>
      <c r="E52" s="26" t="n">
        <v>5017310</v>
      </c>
    </row>
    <row r="53">
      <c r="A53" s="24" t="n">
        <v>2008</v>
      </c>
      <c r="B53" s="24" t="inlineStr">
        <is>
          <t>04</t>
        </is>
      </c>
      <c r="C53" s="25" t="n">
        <v>4032</v>
      </c>
      <c r="D53" s="25" t="n">
        <v>788</v>
      </c>
      <c r="E53" s="26" t="n">
        <v>4899490</v>
      </c>
    </row>
    <row r="54">
      <c r="A54" s="24" t="n">
        <v>2008</v>
      </c>
      <c r="B54" s="24" t="inlineStr">
        <is>
          <t>05</t>
        </is>
      </c>
      <c r="C54" s="25" t="n">
        <v>25307</v>
      </c>
      <c r="D54" s="25" t="n">
        <v>5217</v>
      </c>
      <c r="E54" s="26" t="n">
        <v>25859160</v>
      </c>
    </row>
    <row r="55">
      <c r="A55" s="24" t="n">
        <v>2008</v>
      </c>
      <c r="B55" s="24" t="inlineStr">
        <is>
          <t>06</t>
        </is>
      </c>
      <c r="C55" s="25" t="n">
        <v>3598</v>
      </c>
      <c r="D55" s="25" t="n">
        <v>746</v>
      </c>
      <c r="E55" s="26" t="n">
        <v>3969850</v>
      </c>
    </row>
    <row r="56">
      <c r="A56" s="24" t="n">
        <v>2008</v>
      </c>
      <c r="B56" s="24" t="inlineStr">
        <is>
          <t>07</t>
        </is>
      </c>
      <c r="C56" s="25" t="n">
        <v>4070</v>
      </c>
      <c r="D56" s="25" t="n">
        <v>802</v>
      </c>
      <c r="E56" s="26" t="n">
        <v>4334390</v>
      </c>
    </row>
    <row r="57">
      <c r="A57" s="24" t="n">
        <v>2008</v>
      </c>
      <c r="B57" s="24" t="inlineStr">
        <is>
          <t>08</t>
        </is>
      </c>
      <c r="C57" s="25" t="n">
        <v>1207</v>
      </c>
      <c r="D57" s="25" t="n">
        <v>243</v>
      </c>
      <c r="E57" s="26" t="n">
        <v>1254240</v>
      </c>
    </row>
    <row r="58">
      <c r="A58" s="24" t="n">
        <v>2008</v>
      </c>
      <c r="B58" s="24" t="inlineStr">
        <is>
          <t>09</t>
        </is>
      </c>
      <c r="C58" s="25" t="n">
        <v>428</v>
      </c>
      <c r="D58" s="25" t="n">
        <v>89</v>
      </c>
      <c r="E58" s="26" t="n">
        <v>506740</v>
      </c>
    </row>
    <row r="59">
      <c r="A59" s="24" t="n">
        <v>2008</v>
      </c>
      <c r="B59" s="24" t="inlineStr">
        <is>
          <t>10</t>
        </is>
      </c>
      <c r="C59" s="25" t="n">
        <v>22642</v>
      </c>
      <c r="D59" s="25" t="n">
        <v>4385</v>
      </c>
      <c r="E59" s="26" t="n">
        <v>24182180</v>
      </c>
    </row>
    <row r="60">
      <c r="A60" s="24" t="n">
        <v>2008</v>
      </c>
      <c r="B60" s="24" t="inlineStr">
        <is>
          <t>11</t>
        </is>
      </c>
      <c r="C60" s="25" t="n">
        <v>8967</v>
      </c>
      <c r="D60" s="25" t="n">
        <v>1803</v>
      </c>
      <c r="E60" s="26" t="n">
        <v>10458580</v>
      </c>
    </row>
    <row r="61">
      <c r="A61" s="24" t="n">
        <v>2008</v>
      </c>
      <c r="B61" s="24" t="inlineStr">
        <is>
          <t>12</t>
        </is>
      </c>
      <c r="C61" s="25" t="n">
        <v>892</v>
      </c>
      <c r="D61" s="25" t="n">
        <v>190</v>
      </c>
      <c r="E61" s="26" t="n">
        <v>783960</v>
      </c>
    </row>
    <row r="62">
      <c r="A62" s="24" t="n">
        <v>2008</v>
      </c>
      <c r="B62" s="24" t="inlineStr">
        <is>
          <t>13</t>
        </is>
      </c>
      <c r="C62" s="25" t="n">
        <v>1386</v>
      </c>
      <c r="D62" s="25" t="n">
        <v>285</v>
      </c>
      <c r="E62" s="26" t="n">
        <v>1719750</v>
      </c>
    </row>
    <row r="63">
      <c r="A63" s="24" t="n">
        <v>2008</v>
      </c>
      <c r="B63" s="24" t="inlineStr">
        <is>
          <t>14</t>
        </is>
      </c>
      <c r="C63" s="25" t="n">
        <v>13455</v>
      </c>
      <c r="D63" s="25" t="n">
        <v>2684</v>
      </c>
      <c r="E63" s="26" t="n">
        <v>14259110</v>
      </c>
    </row>
    <row r="64">
      <c r="A64" s="24" t="n">
        <v>2008</v>
      </c>
      <c r="B64" s="24" t="inlineStr">
        <is>
          <t>15</t>
        </is>
      </c>
      <c r="C64" s="25" t="n">
        <v>7629</v>
      </c>
      <c r="D64" s="25" t="n">
        <v>1473</v>
      </c>
      <c r="E64" s="26" t="n">
        <v>8512620</v>
      </c>
    </row>
    <row r="65">
      <c r="A65" s="24" t="n">
        <v>2008</v>
      </c>
      <c r="B65" s="24" t="inlineStr">
        <is>
          <t>16</t>
        </is>
      </c>
      <c r="C65" s="25" t="n">
        <v>3821</v>
      </c>
      <c r="D65" s="25" t="n">
        <v>779</v>
      </c>
      <c r="E65" s="26" t="n">
        <v>4000190</v>
      </c>
    </row>
    <row r="66">
      <c r="A66" s="24" t="n">
        <v>2008</v>
      </c>
      <c r="B66" s="24" t="inlineStr">
        <is>
          <t>17</t>
        </is>
      </c>
      <c r="C66" s="25" t="n">
        <v>3595</v>
      </c>
      <c r="D66" s="25" t="n">
        <v>686</v>
      </c>
      <c r="E66" s="26" t="n">
        <v>3681410</v>
      </c>
    </row>
    <row r="67">
      <c r="A67" s="24" t="n">
        <v>2008</v>
      </c>
      <c r="B67" s="24" t="inlineStr">
        <is>
          <t>18</t>
        </is>
      </c>
      <c r="C67" s="25" t="n">
        <v>5929</v>
      </c>
      <c r="D67" s="25" t="n">
        <v>1160</v>
      </c>
      <c r="E67" s="26" t="n">
        <v>6828180</v>
      </c>
    </row>
    <row r="68">
      <c r="A68" s="24" t="n">
        <v>2008</v>
      </c>
      <c r="B68" s="24" t="inlineStr">
        <is>
          <t>19</t>
        </is>
      </c>
      <c r="C68" s="25" t="n">
        <v>4909</v>
      </c>
      <c r="D68" s="25" t="n">
        <v>941</v>
      </c>
      <c r="E68" s="26" t="n">
        <v>5941960</v>
      </c>
    </row>
    <row r="69">
      <c r="A69" s="24" t="n">
        <v>2008</v>
      </c>
      <c r="B69" s="24" t="inlineStr">
        <is>
          <t>20</t>
        </is>
      </c>
      <c r="C69" s="25" t="n">
        <v>1918</v>
      </c>
      <c r="D69" s="25" t="n">
        <v>404</v>
      </c>
      <c r="E69" s="26" t="n">
        <v>1509440</v>
      </c>
    </row>
    <row r="70">
      <c r="A70" s="24" t="n">
        <v>2008</v>
      </c>
      <c r="B70" s="24" t="inlineStr">
        <is>
          <t>21</t>
        </is>
      </c>
      <c r="C70" s="25" t="n">
        <v>5516</v>
      </c>
      <c r="D70" s="25" t="n">
        <v>1078</v>
      </c>
      <c r="E70" s="26" t="n">
        <v>6310250</v>
      </c>
    </row>
    <row r="71">
      <c r="A71" s="24" t="n">
        <v>2008</v>
      </c>
      <c r="B71" s="24" t="inlineStr">
        <is>
          <t>22</t>
        </is>
      </c>
      <c r="C71" s="25" t="n">
        <v>7403</v>
      </c>
      <c r="D71" s="25" t="n">
        <v>1428</v>
      </c>
      <c r="E71" s="26" t="n">
        <v>7638970</v>
      </c>
    </row>
    <row r="72">
      <c r="A72" s="24" t="n">
        <v>2008</v>
      </c>
      <c r="B72" s="24" t="inlineStr">
        <is>
          <t>23</t>
        </is>
      </c>
      <c r="C72" s="25" t="n">
        <v>11532</v>
      </c>
      <c r="D72" s="25" t="n">
        <v>2350</v>
      </c>
      <c r="E72" s="26" t="n">
        <v>12123790</v>
      </c>
    </row>
    <row r="73">
      <c r="A73" s="24" t="n">
        <v>2008</v>
      </c>
      <c r="B73" s="24" t="inlineStr">
        <is>
          <t>24</t>
        </is>
      </c>
      <c r="C73" s="25" t="n">
        <v>4560</v>
      </c>
      <c r="D73" s="25" t="n">
        <v>953</v>
      </c>
      <c r="E73" s="26" t="n">
        <v>4906860</v>
      </c>
    </row>
    <row r="74">
      <c r="A74" s="24" t="n">
        <v>2008</v>
      </c>
      <c r="B74" s="24" t="inlineStr">
        <is>
          <t>25</t>
        </is>
      </c>
      <c r="C74" s="25" t="n">
        <v>3800</v>
      </c>
      <c r="D74" s="25" t="n">
        <v>748</v>
      </c>
      <c r="E74" s="26" t="n">
        <v>4837640</v>
      </c>
    </row>
    <row r="75">
      <c r="A75" s="24" t="n">
        <v>2008</v>
      </c>
      <c r="B75" s="24" t="inlineStr">
        <is>
          <t>26</t>
        </is>
      </c>
      <c r="C75" s="25" t="n">
        <v>7172</v>
      </c>
      <c r="D75" s="25" t="n">
        <v>1411</v>
      </c>
      <c r="E75" s="26" t="n">
        <v>7721950</v>
      </c>
    </row>
    <row r="76">
      <c r="A76" s="24" t="n">
        <v>2008</v>
      </c>
      <c r="B76" s="24" t="inlineStr">
        <is>
          <t>27</t>
        </is>
      </c>
      <c r="C76" s="25" t="n">
        <v>1168</v>
      </c>
      <c r="D76" s="25" t="n">
        <v>236</v>
      </c>
      <c r="E76" s="26" t="n">
        <v>1184090</v>
      </c>
    </row>
    <row r="77">
      <c r="A77" s="24" t="n">
        <v>2008</v>
      </c>
      <c r="B77" s="24" t="inlineStr">
        <is>
          <t>28</t>
        </is>
      </c>
      <c r="C77" s="25" t="n">
        <v>1981</v>
      </c>
      <c r="D77" s="25" t="n">
        <v>403</v>
      </c>
      <c r="E77" s="26" t="n">
        <v>2165450</v>
      </c>
    </row>
    <row r="78">
      <c r="A78" s="24" t="n">
        <v>2008</v>
      </c>
      <c r="B78" s="24" t="inlineStr">
        <is>
          <t>29</t>
        </is>
      </c>
      <c r="C78" s="25" t="n">
        <v>2043</v>
      </c>
      <c r="D78" s="25" t="n">
        <v>395</v>
      </c>
      <c r="E78" s="26" t="n">
        <v>2484860</v>
      </c>
    </row>
    <row r="79">
      <c r="A79" s="24" t="n">
        <v>2008</v>
      </c>
      <c r="B79" s="24" t="inlineStr">
        <is>
          <t>30</t>
        </is>
      </c>
      <c r="C79" s="25" t="n">
        <v>1531</v>
      </c>
      <c r="D79" s="25" t="n">
        <v>338</v>
      </c>
      <c r="E79" s="26" t="n">
        <v>1548020</v>
      </c>
    </row>
    <row r="80">
      <c r="A80" s="24" t="n">
        <v>2008</v>
      </c>
      <c r="B80" s="24" t="inlineStr">
        <is>
          <t>31</t>
        </is>
      </c>
      <c r="C80" s="25" t="n">
        <v>9734</v>
      </c>
      <c r="D80" s="25" t="n">
        <v>1926</v>
      </c>
      <c r="E80" s="26" t="n">
        <v>10980560</v>
      </c>
    </row>
    <row r="81">
      <c r="A81" s="24" t="n">
        <v>2008</v>
      </c>
      <c r="B81" s="24" t="inlineStr">
        <is>
          <t>32</t>
        </is>
      </c>
      <c r="C81" s="25" t="n">
        <v>1628</v>
      </c>
      <c r="D81" s="25" t="n">
        <v>341</v>
      </c>
      <c r="E81" s="26" t="n">
        <v>1797780</v>
      </c>
    </row>
    <row r="82">
      <c r="A82" s="24" t="n">
        <v>2008</v>
      </c>
      <c r="B82" s="24" t="inlineStr">
        <is>
          <t>33</t>
        </is>
      </c>
      <c r="C82" s="25" t="n">
        <v>19046</v>
      </c>
      <c r="D82" s="25" t="n">
        <v>3754</v>
      </c>
      <c r="E82" s="26" t="n">
        <v>20729180</v>
      </c>
    </row>
    <row r="83">
      <c r="A83" s="24" t="n">
        <v>2008</v>
      </c>
      <c r="B83" s="24" t="inlineStr">
        <is>
          <t>34</t>
        </is>
      </c>
      <c r="C83" s="25" t="n">
        <v>10489</v>
      </c>
      <c r="D83" s="25" t="n">
        <v>2094</v>
      </c>
      <c r="E83" s="26" t="n">
        <v>10911270</v>
      </c>
    </row>
    <row r="84">
      <c r="A84" s="24" t="n">
        <v>2008</v>
      </c>
      <c r="B84" s="24" t="inlineStr">
        <is>
          <t>35</t>
        </is>
      </c>
      <c r="C84" s="25" t="n">
        <v>779</v>
      </c>
      <c r="D84" s="25" t="n">
        <v>162</v>
      </c>
      <c r="E84" s="26" t="n">
        <v>848960</v>
      </c>
    </row>
    <row r="85">
      <c r="A85" s="24" t="n">
        <v>2008</v>
      </c>
      <c r="B85" s="24" t="inlineStr">
        <is>
          <t>36</t>
        </is>
      </c>
      <c r="C85" s="25" t="n">
        <v>12924</v>
      </c>
      <c r="D85" s="25" t="n">
        <v>2534</v>
      </c>
      <c r="E85" s="26" t="n">
        <v>15308290</v>
      </c>
    </row>
    <row r="86">
      <c r="A86" s="24" t="n">
        <v>2008</v>
      </c>
      <c r="B86" s="24" t="inlineStr">
        <is>
          <t>37</t>
        </is>
      </c>
      <c r="C86" s="25" t="n">
        <v>4312</v>
      </c>
      <c r="D86" s="25" t="n">
        <v>840</v>
      </c>
      <c r="E86" s="26" t="n">
        <v>4789260</v>
      </c>
    </row>
    <row r="87">
      <c r="A87" s="24" t="n">
        <v>2008</v>
      </c>
      <c r="B87" s="24" t="inlineStr">
        <is>
          <t>38</t>
        </is>
      </c>
      <c r="C87" s="25" t="n">
        <v>2817</v>
      </c>
      <c r="D87" s="25" t="n">
        <v>583</v>
      </c>
      <c r="E87" s="26" t="n">
        <v>2804920</v>
      </c>
    </row>
    <row r="88">
      <c r="A88" s="24" t="n">
        <v>2008</v>
      </c>
      <c r="B88" s="24" t="inlineStr">
        <is>
          <t>39</t>
        </is>
      </c>
      <c r="C88" s="25" t="n">
        <v>13767</v>
      </c>
      <c r="D88" s="25" t="n">
        <v>2749</v>
      </c>
      <c r="E88" s="26" t="n">
        <v>15175240</v>
      </c>
    </row>
    <row r="89">
      <c r="A89" s="24" t="n">
        <v>2008</v>
      </c>
      <c r="B89" s="24" t="inlineStr">
        <is>
          <t>41</t>
        </is>
      </c>
      <c r="C89" s="25" t="n">
        <v>874</v>
      </c>
      <c r="D89" s="25" t="n">
        <v>192</v>
      </c>
      <c r="E89" s="26" t="n">
        <v>778080</v>
      </c>
    </row>
    <row r="90">
      <c r="A90" s="24" t="n">
        <v>2008</v>
      </c>
      <c r="B90" s="24" t="inlineStr">
        <is>
          <t>42</t>
        </is>
      </c>
      <c r="C90" s="25" t="n">
        <v>5589</v>
      </c>
      <c r="D90" s="25" t="n">
        <v>1092</v>
      </c>
      <c r="E90" s="26" t="n">
        <v>5858470</v>
      </c>
    </row>
    <row r="91">
      <c r="A91" s="24" t="n">
        <v>2008</v>
      </c>
      <c r="B91" s="24" t="inlineStr">
        <is>
          <t>43</t>
        </is>
      </c>
      <c r="C91" s="25" t="n">
        <v>979</v>
      </c>
      <c r="D91" s="25" t="n">
        <v>211</v>
      </c>
      <c r="E91" s="26" t="n">
        <v>1141190</v>
      </c>
    </row>
    <row r="92">
      <c r="A92" s="24" t="n">
        <v>2008</v>
      </c>
      <c r="B92" s="24" t="inlineStr">
        <is>
          <t>44</t>
        </is>
      </c>
      <c r="C92" s="25" t="n">
        <v>7422</v>
      </c>
      <c r="D92" s="25" t="n">
        <v>1463</v>
      </c>
      <c r="E92" s="26" t="n">
        <v>7910690</v>
      </c>
    </row>
    <row r="93">
      <c r="A93" s="24" t="n">
        <v>2008</v>
      </c>
      <c r="B93" s="24" t="inlineStr">
        <is>
          <t>45</t>
        </is>
      </c>
      <c r="C93" s="25" t="n">
        <v>21022</v>
      </c>
      <c r="D93" s="25" t="n">
        <v>4160</v>
      </c>
      <c r="E93" s="26" t="n">
        <v>23659650</v>
      </c>
    </row>
    <row r="94">
      <c r="A94" s="24" t="n">
        <v>2008</v>
      </c>
      <c r="B94" s="24" t="inlineStr">
        <is>
          <t>46</t>
        </is>
      </c>
      <c r="C94" s="25" t="n">
        <v>1601</v>
      </c>
      <c r="D94" s="25" t="n">
        <v>340</v>
      </c>
      <c r="E94" s="26" t="n">
        <v>1286680</v>
      </c>
    </row>
    <row r="95">
      <c r="A95" s="24" t="n">
        <v>2008</v>
      </c>
      <c r="B95" s="24" t="inlineStr">
        <is>
          <t>47</t>
        </is>
      </c>
      <c r="C95" s="25" t="n">
        <v>806</v>
      </c>
      <c r="D95" s="25" t="n">
        <v>166</v>
      </c>
      <c r="E95" s="26" t="n">
        <v>874420</v>
      </c>
    </row>
    <row r="96">
      <c r="A96" s="24" t="n">
        <v>2008</v>
      </c>
      <c r="B96" s="24" t="inlineStr">
        <is>
          <t>49</t>
        </is>
      </c>
      <c r="C96" s="25" t="n">
        <v>8323</v>
      </c>
      <c r="D96" s="25" t="n">
        <v>1624</v>
      </c>
      <c r="E96" s="26" t="n">
        <v>8642690</v>
      </c>
    </row>
    <row r="97">
      <c r="A97" s="24" t="n">
        <v>2008</v>
      </c>
      <c r="B97" s="24" t="inlineStr">
        <is>
          <t>50</t>
        </is>
      </c>
      <c r="C97" s="25" t="n">
        <v>5793</v>
      </c>
      <c r="D97" s="25" t="n">
        <v>1208</v>
      </c>
      <c r="E97" s="26" t="n">
        <v>5364570</v>
      </c>
    </row>
    <row r="98">
      <c r="A98" s="24" t="n">
        <v>2008</v>
      </c>
      <c r="B98" s="24" t="inlineStr">
        <is>
          <t>51</t>
        </is>
      </c>
      <c r="C98" s="25" t="n">
        <v>2539</v>
      </c>
      <c r="D98" s="25" t="n">
        <v>537</v>
      </c>
      <c r="E98" s="26" t="n">
        <v>3150190</v>
      </c>
    </row>
    <row r="99">
      <c r="A99" s="24" t="n">
        <v>2008</v>
      </c>
      <c r="B99" s="24" t="inlineStr">
        <is>
          <t>52</t>
        </is>
      </c>
      <c r="C99" s="25" t="n">
        <v>5747</v>
      </c>
      <c r="D99" s="25" t="n">
        <v>1186</v>
      </c>
      <c r="E99" s="26" t="n">
        <v>6353190</v>
      </c>
    </row>
    <row r="100">
      <c r="A100" s="24" t="n">
        <v>2008</v>
      </c>
      <c r="B100" s="24" t="inlineStr">
        <is>
          <t>53</t>
        </is>
      </c>
      <c r="C100" s="25" t="n">
        <v>556</v>
      </c>
      <c r="D100" s="25" t="n">
        <v>108</v>
      </c>
      <c r="E100" s="26" t="n">
        <v>519530</v>
      </c>
    </row>
    <row r="101">
      <c r="A101" s="24" t="n">
        <v>2008</v>
      </c>
      <c r="B101" s="24" t="inlineStr">
        <is>
          <t>54</t>
        </is>
      </c>
      <c r="C101" s="25" t="n">
        <v>2195</v>
      </c>
      <c r="D101" s="25" t="n">
        <v>474</v>
      </c>
      <c r="E101" s="26" t="n">
        <v>2048540</v>
      </c>
    </row>
    <row r="102">
      <c r="A102" s="24" t="n">
        <v>2009</v>
      </c>
      <c r="B102" s="24" t="inlineStr">
        <is>
          <t>01</t>
        </is>
      </c>
      <c r="C102" s="25" t="n">
        <v>6862</v>
      </c>
      <c r="D102" s="25" t="n">
        <v>1419</v>
      </c>
      <c r="E102" s="26" t="n">
        <v>6432920</v>
      </c>
    </row>
    <row r="103">
      <c r="A103" s="24" t="n">
        <v>2009</v>
      </c>
      <c r="B103" s="24" t="inlineStr">
        <is>
          <t>02</t>
        </is>
      </c>
      <c r="C103" s="25" t="n">
        <v>463</v>
      </c>
      <c r="D103" s="25" t="n">
        <v>116</v>
      </c>
      <c r="E103" s="26" t="n">
        <v>370280</v>
      </c>
    </row>
    <row r="104">
      <c r="A104" s="24" t="n">
        <v>2009</v>
      </c>
      <c r="B104" s="24" t="inlineStr">
        <is>
          <t>03</t>
        </is>
      </c>
      <c r="C104" s="25" t="n">
        <v>5587</v>
      </c>
      <c r="D104" s="25" t="n">
        <v>1280</v>
      </c>
      <c r="E104" s="26" t="n">
        <v>5850180</v>
      </c>
    </row>
    <row r="105">
      <c r="A105" s="24" t="n">
        <v>2009</v>
      </c>
      <c r="B105" s="24" t="inlineStr">
        <is>
          <t>04</t>
        </is>
      </c>
      <c r="C105" s="25" t="n">
        <v>4435</v>
      </c>
      <c r="D105" s="25" t="n">
        <v>949</v>
      </c>
      <c r="E105" s="26" t="n">
        <v>4121920</v>
      </c>
    </row>
    <row r="106">
      <c r="A106" s="24" t="n">
        <v>2009</v>
      </c>
      <c r="B106" s="24" t="inlineStr">
        <is>
          <t>05</t>
        </is>
      </c>
      <c r="C106" s="25" t="n">
        <v>28974</v>
      </c>
      <c r="D106" s="25" t="n">
        <v>6273</v>
      </c>
      <c r="E106" s="26" t="n">
        <v>27972730</v>
      </c>
    </row>
    <row r="107">
      <c r="A107" s="24" t="n">
        <v>2009</v>
      </c>
      <c r="B107" s="24" t="inlineStr">
        <is>
          <t>06</t>
        </is>
      </c>
      <c r="C107" s="25" t="n">
        <v>4260</v>
      </c>
      <c r="D107" s="25" t="n">
        <v>959</v>
      </c>
      <c r="E107" s="26" t="n">
        <v>4077830</v>
      </c>
    </row>
    <row r="108">
      <c r="A108" s="24" t="n">
        <v>2009</v>
      </c>
      <c r="B108" s="24" t="inlineStr">
        <is>
          <t>07</t>
        </is>
      </c>
      <c r="C108" s="25" t="n">
        <v>4428</v>
      </c>
      <c r="D108" s="25" t="n">
        <v>936</v>
      </c>
      <c r="E108" s="26" t="n">
        <v>4170920</v>
      </c>
    </row>
    <row r="109">
      <c r="A109" s="24" t="n">
        <v>2009</v>
      </c>
      <c r="B109" s="24" t="inlineStr">
        <is>
          <t>08</t>
        </is>
      </c>
      <c r="C109" s="25" t="n">
        <v>1337</v>
      </c>
      <c r="D109" s="25" t="n">
        <v>285</v>
      </c>
      <c r="E109" s="26" t="n">
        <v>1380970</v>
      </c>
    </row>
    <row r="110">
      <c r="A110" s="24" t="n">
        <v>2009</v>
      </c>
      <c r="B110" s="24" t="inlineStr">
        <is>
          <t>09</t>
        </is>
      </c>
      <c r="C110" s="25" t="n">
        <v>509</v>
      </c>
      <c r="D110" s="25" t="n">
        <v>124</v>
      </c>
      <c r="E110" s="26" t="n">
        <v>528190</v>
      </c>
    </row>
    <row r="111">
      <c r="A111" s="24" t="n">
        <v>2009</v>
      </c>
      <c r="B111" s="24" t="inlineStr">
        <is>
          <t>10</t>
        </is>
      </c>
      <c r="C111" s="25" t="n">
        <v>24972</v>
      </c>
      <c r="D111" s="25" t="n">
        <v>5188</v>
      </c>
      <c r="E111" s="26" t="n">
        <v>24797410</v>
      </c>
    </row>
    <row r="112">
      <c r="A112" s="24" t="n">
        <v>2009</v>
      </c>
      <c r="B112" s="24" t="inlineStr">
        <is>
          <t>11</t>
        </is>
      </c>
      <c r="C112" s="25" t="n">
        <v>10069</v>
      </c>
      <c r="D112" s="25" t="n">
        <v>2108</v>
      </c>
      <c r="E112" s="26" t="n">
        <v>10155900</v>
      </c>
    </row>
    <row r="113">
      <c r="A113" s="24" t="n">
        <v>2009</v>
      </c>
      <c r="B113" s="24" t="inlineStr">
        <is>
          <t>12</t>
        </is>
      </c>
      <c r="C113" s="25" t="n">
        <v>1082</v>
      </c>
      <c r="D113" s="25" t="n">
        <v>258</v>
      </c>
      <c r="E113" s="26" t="n">
        <v>917880</v>
      </c>
    </row>
    <row r="114">
      <c r="A114" s="24" t="n">
        <v>2009</v>
      </c>
      <c r="B114" s="24" t="inlineStr">
        <is>
          <t>13</t>
        </is>
      </c>
      <c r="C114" s="25" t="n">
        <v>1603</v>
      </c>
      <c r="D114" s="25" t="n">
        <v>351</v>
      </c>
      <c r="E114" s="26" t="n">
        <v>1497830</v>
      </c>
    </row>
    <row r="115">
      <c r="A115" s="24" t="n">
        <v>2009</v>
      </c>
      <c r="B115" s="24" t="inlineStr">
        <is>
          <t>14</t>
        </is>
      </c>
      <c r="C115" s="25" t="n">
        <v>14888</v>
      </c>
      <c r="D115" s="25" t="n">
        <v>3147</v>
      </c>
      <c r="E115" s="26" t="n">
        <v>14864020</v>
      </c>
    </row>
    <row r="116">
      <c r="A116" s="24" t="n">
        <v>2009</v>
      </c>
      <c r="B116" s="24" t="inlineStr">
        <is>
          <t>15</t>
        </is>
      </c>
      <c r="C116" s="25" t="n">
        <v>8657</v>
      </c>
      <c r="D116" s="25" t="n">
        <v>1730</v>
      </c>
      <c r="E116" s="26" t="n">
        <v>9016090</v>
      </c>
    </row>
    <row r="117">
      <c r="A117" s="24" t="n">
        <v>2009</v>
      </c>
      <c r="B117" s="24" t="inlineStr">
        <is>
          <t>16</t>
        </is>
      </c>
      <c r="C117" s="25" t="n">
        <v>4353</v>
      </c>
      <c r="D117" s="25" t="n">
        <v>924</v>
      </c>
      <c r="E117" s="26" t="n">
        <v>4321290</v>
      </c>
    </row>
    <row r="118">
      <c r="A118" s="24" t="n">
        <v>2009</v>
      </c>
      <c r="B118" s="24" t="inlineStr">
        <is>
          <t>17</t>
        </is>
      </c>
      <c r="C118" s="25" t="n">
        <v>3831</v>
      </c>
      <c r="D118" s="25" t="n">
        <v>793</v>
      </c>
      <c r="E118" s="26" t="n">
        <v>3695720</v>
      </c>
    </row>
    <row r="119">
      <c r="A119" s="24" t="n">
        <v>2009</v>
      </c>
      <c r="B119" s="24" t="inlineStr">
        <is>
          <t>18</t>
        </is>
      </c>
      <c r="C119" s="25" t="n">
        <v>6422</v>
      </c>
      <c r="D119" s="25" t="n">
        <v>1364</v>
      </c>
      <c r="E119" s="26" t="n">
        <v>6331630</v>
      </c>
    </row>
    <row r="120">
      <c r="A120" s="24" t="n">
        <v>2009</v>
      </c>
      <c r="B120" s="24" t="inlineStr">
        <is>
          <t>19</t>
        </is>
      </c>
      <c r="C120" s="25" t="n">
        <v>5373</v>
      </c>
      <c r="D120" s="25" t="n">
        <v>1124</v>
      </c>
      <c r="E120" s="26" t="n">
        <v>5726100</v>
      </c>
    </row>
    <row r="121">
      <c r="A121" s="24" t="n">
        <v>2009</v>
      </c>
      <c r="B121" s="24" t="inlineStr">
        <is>
          <t>20</t>
        </is>
      </c>
      <c r="C121" s="25" t="n">
        <v>2175</v>
      </c>
      <c r="D121" s="25" t="n">
        <v>471</v>
      </c>
      <c r="E121" s="26" t="n">
        <v>1803570</v>
      </c>
    </row>
    <row r="122">
      <c r="A122" s="24" t="n">
        <v>2009</v>
      </c>
      <c r="B122" s="24" t="inlineStr">
        <is>
          <t>21</t>
        </is>
      </c>
      <c r="C122" s="25" t="n">
        <v>5986</v>
      </c>
      <c r="D122" s="25" t="n">
        <v>1290</v>
      </c>
      <c r="E122" s="26" t="n">
        <v>6248220</v>
      </c>
    </row>
    <row r="123">
      <c r="A123" s="24" t="n">
        <v>2009</v>
      </c>
      <c r="B123" s="24" t="inlineStr">
        <is>
          <t>22</t>
        </is>
      </c>
      <c r="C123" s="25" t="n">
        <v>8251</v>
      </c>
      <c r="D123" s="25" t="n">
        <v>1704</v>
      </c>
      <c r="E123" s="26" t="n">
        <v>8208940</v>
      </c>
    </row>
    <row r="124">
      <c r="A124" s="24" t="n">
        <v>2009</v>
      </c>
      <c r="B124" s="24" t="inlineStr">
        <is>
          <t>23</t>
        </is>
      </c>
      <c r="C124" s="25" t="n">
        <v>12950</v>
      </c>
      <c r="D124" s="25" t="n">
        <v>2768</v>
      </c>
      <c r="E124" s="26" t="n">
        <v>12666490</v>
      </c>
    </row>
    <row r="125">
      <c r="A125" s="24" t="n">
        <v>2009</v>
      </c>
      <c r="B125" s="24" t="inlineStr">
        <is>
          <t>24</t>
        </is>
      </c>
      <c r="C125" s="25" t="n">
        <v>5199</v>
      </c>
      <c r="D125" s="25" t="n">
        <v>1189</v>
      </c>
      <c r="E125" s="26" t="n">
        <v>5343930</v>
      </c>
    </row>
    <row r="126">
      <c r="A126" s="24" t="n">
        <v>2009</v>
      </c>
      <c r="B126" s="24" t="inlineStr">
        <is>
          <t>25</t>
        </is>
      </c>
      <c r="C126" s="25" t="n">
        <v>3982</v>
      </c>
      <c r="D126" s="25" t="n">
        <v>862</v>
      </c>
      <c r="E126" s="26" t="n">
        <v>4154230</v>
      </c>
    </row>
    <row r="127">
      <c r="A127" s="24" t="n">
        <v>2009</v>
      </c>
      <c r="B127" s="24" t="inlineStr">
        <is>
          <t>26</t>
        </is>
      </c>
      <c r="C127" s="25" t="n">
        <v>7869</v>
      </c>
      <c r="D127" s="25" t="n">
        <v>1654</v>
      </c>
      <c r="E127" s="26" t="n">
        <v>7666690</v>
      </c>
    </row>
    <row r="128">
      <c r="A128" s="24" t="n">
        <v>2009</v>
      </c>
      <c r="B128" s="24" t="inlineStr">
        <is>
          <t>27</t>
        </is>
      </c>
      <c r="C128" s="25" t="n">
        <v>1256</v>
      </c>
      <c r="D128" s="25" t="n">
        <v>285</v>
      </c>
      <c r="E128" s="26" t="n">
        <v>1066470</v>
      </c>
    </row>
    <row r="129">
      <c r="A129" s="24" t="n">
        <v>2009</v>
      </c>
      <c r="B129" s="24" t="inlineStr">
        <is>
          <t>28</t>
        </is>
      </c>
      <c r="C129" s="25" t="n">
        <v>2230</v>
      </c>
      <c r="D129" s="25" t="n">
        <v>471</v>
      </c>
      <c r="E129" s="26" t="n">
        <v>2650520</v>
      </c>
    </row>
    <row r="130">
      <c r="A130" s="24" t="n">
        <v>2009</v>
      </c>
      <c r="B130" s="24" t="inlineStr">
        <is>
          <t>29</t>
        </is>
      </c>
      <c r="C130" s="25" t="n">
        <v>2197</v>
      </c>
      <c r="D130" s="25" t="n">
        <v>468</v>
      </c>
      <c r="E130" s="26" t="n">
        <v>2046930</v>
      </c>
    </row>
    <row r="131">
      <c r="A131" s="24" t="n">
        <v>2009</v>
      </c>
      <c r="B131" s="24" t="inlineStr">
        <is>
          <t>30</t>
        </is>
      </c>
      <c r="C131" s="25" t="n">
        <v>1859</v>
      </c>
      <c r="D131" s="25" t="n">
        <v>406</v>
      </c>
      <c r="E131" s="26" t="n">
        <v>1517030</v>
      </c>
    </row>
    <row r="132">
      <c r="A132" s="24" t="n">
        <v>2009</v>
      </c>
      <c r="B132" s="24" t="inlineStr">
        <is>
          <t>31</t>
        </is>
      </c>
      <c r="C132" s="25" t="n">
        <v>10843</v>
      </c>
      <c r="D132" s="25" t="n">
        <v>2275</v>
      </c>
      <c r="E132" s="26" t="n">
        <v>10984770</v>
      </c>
    </row>
    <row r="133">
      <c r="A133" s="24" t="n">
        <v>2009</v>
      </c>
      <c r="B133" s="24" t="inlineStr">
        <is>
          <t>32</t>
        </is>
      </c>
      <c r="C133" s="25" t="n">
        <v>1844</v>
      </c>
      <c r="D133" s="25" t="n">
        <v>449</v>
      </c>
      <c r="E133" s="26" t="n">
        <v>1839640</v>
      </c>
    </row>
    <row r="134">
      <c r="A134" s="24" t="n">
        <v>2009</v>
      </c>
      <c r="B134" s="24" t="inlineStr">
        <is>
          <t>33</t>
        </is>
      </c>
      <c r="C134" s="25" t="n">
        <v>21545</v>
      </c>
      <c r="D134" s="25" t="n">
        <v>4455</v>
      </c>
      <c r="E134" s="26" t="n">
        <v>20818250</v>
      </c>
    </row>
    <row r="135">
      <c r="A135" s="24" t="n">
        <v>2009</v>
      </c>
      <c r="B135" s="24" t="inlineStr">
        <is>
          <t>34</t>
        </is>
      </c>
      <c r="C135" s="25" t="n">
        <v>11684</v>
      </c>
      <c r="D135" s="25" t="n">
        <v>2436</v>
      </c>
      <c r="E135" s="26" t="n">
        <v>10813730</v>
      </c>
    </row>
    <row r="136">
      <c r="A136" s="24" t="n">
        <v>2009</v>
      </c>
      <c r="B136" s="24" t="inlineStr">
        <is>
          <t>35</t>
        </is>
      </c>
      <c r="C136" s="25" t="n">
        <v>989</v>
      </c>
      <c r="D136" s="25" t="n">
        <v>221</v>
      </c>
      <c r="E136" s="26" t="n">
        <v>1042620</v>
      </c>
    </row>
    <row r="137">
      <c r="A137" s="24" t="n">
        <v>2009</v>
      </c>
      <c r="B137" s="24" t="inlineStr">
        <is>
          <t>36</t>
        </is>
      </c>
      <c r="C137" s="25" t="n">
        <v>14113</v>
      </c>
      <c r="D137" s="25" t="n">
        <v>2962</v>
      </c>
      <c r="E137" s="26" t="n">
        <v>14199320</v>
      </c>
    </row>
    <row r="138">
      <c r="A138" s="24" t="n">
        <v>2009</v>
      </c>
      <c r="B138" s="24" t="inlineStr">
        <is>
          <t>37</t>
        </is>
      </c>
      <c r="C138" s="25" t="n">
        <v>4669</v>
      </c>
      <c r="D138" s="25" t="n">
        <v>1013</v>
      </c>
      <c r="E138" s="26" t="n">
        <v>4018930</v>
      </c>
    </row>
    <row r="139">
      <c r="A139" s="24" t="n">
        <v>2009</v>
      </c>
      <c r="B139" s="24" t="inlineStr">
        <is>
          <t>38</t>
        </is>
      </c>
      <c r="C139" s="25" t="n">
        <v>3330</v>
      </c>
      <c r="D139" s="25" t="n">
        <v>757</v>
      </c>
      <c r="E139" s="26" t="n">
        <v>2959880</v>
      </c>
    </row>
    <row r="140">
      <c r="A140" s="24" t="n">
        <v>2009</v>
      </c>
      <c r="B140" s="24" t="inlineStr">
        <is>
          <t>39</t>
        </is>
      </c>
      <c r="C140" s="25" t="n">
        <v>15308</v>
      </c>
      <c r="D140" s="25" t="n">
        <v>3266</v>
      </c>
      <c r="E140" s="26" t="n">
        <v>15178340</v>
      </c>
    </row>
    <row r="141">
      <c r="A141" s="24" t="n">
        <v>2009</v>
      </c>
      <c r="B141" s="24" t="inlineStr">
        <is>
          <t>41</t>
        </is>
      </c>
      <c r="C141" s="25" t="n">
        <v>1106</v>
      </c>
      <c r="D141" s="25" t="n">
        <v>278</v>
      </c>
      <c r="E141" s="26" t="n">
        <v>1004590</v>
      </c>
    </row>
    <row r="142">
      <c r="A142" s="24" t="n">
        <v>2009</v>
      </c>
      <c r="B142" s="24" t="inlineStr">
        <is>
          <t>42</t>
        </is>
      </c>
      <c r="C142" s="25" t="n">
        <v>5920</v>
      </c>
      <c r="D142" s="25" t="n">
        <v>1294</v>
      </c>
      <c r="E142" s="26" t="n">
        <v>5608130</v>
      </c>
    </row>
    <row r="143">
      <c r="A143" s="24" t="n">
        <v>2009</v>
      </c>
      <c r="B143" s="24" t="inlineStr">
        <is>
          <t>43</t>
        </is>
      </c>
      <c r="C143" s="25" t="n">
        <v>1170</v>
      </c>
      <c r="D143" s="25" t="n">
        <v>252</v>
      </c>
      <c r="E143" s="26" t="n">
        <v>1041100</v>
      </c>
    </row>
    <row r="144">
      <c r="A144" s="24" t="n">
        <v>2009</v>
      </c>
      <c r="B144" s="24" t="inlineStr">
        <is>
          <t>44</t>
        </is>
      </c>
      <c r="C144" s="25" t="n">
        <v>8282</v>
      </c>
      <c r="D144" s="25" t="n">
        <v>1735</v>
      </c>
      <c r="E144" s="26" t="n">
        <v>7383040</v>
      </c>
    </row>
    <row r="145">
      <c r="A145" s="24" t="n">
        <v>2009</v>
      </c>
      <c r="B145" s="24" t="inlineStr">
        <is>
          <t>45</t>
        </is>
      </c>
      <c r="C145" s="25" t="n">
        <v>23294</v>
      </c>
      <c r="D145" s="25" t="n">
        <v>4806</v>
      </c>
      <c r="E145" s="26" t="n">
        <v>23076500</v>
      </c>
    </row>
    <row r="146">
      <c r="A146" s="24" t="n">
        <v>2009</v>
      </c>
      <c r="B146" s="24" t="inlineStr">
        <is>
          <t>46</t>
        </is>
      </c>
      <c r="C146" s="25" t="n">
        <v>1808</v>
      </c>
      <c r="D146" s="25" t="n">
        <v>436</v>
      </c>
      <c r="E146" s="26" t="n">
        <v>2090730</v>
      </c>
    </row>
    <row r="147">
      <c r="A147" s="24" t="n">
        <v>2009</v>
      </c>
      <c r="B147" s="24" t="inlineStr">
        <is>
          <t>47</t>
        </is>
      </c>
      <c r="C147" s="25" t="n">
        <v>937</v>
      </c>
      <c r="D147" s="25" t="n">
        <v>210</v>
      </c>
      <c r="E147" s="26" t="n">
        <v>844790</v>
      </c>
    </row>
    <row r="148">
      <c r="A148" s="24" t="n">
        <v>2009</v>
      </c>
      <c r="B148" s="24" t="inlineStr">
        <is>
          <t>49</t>
        </is>
      </c>
      <c r="C148" s="25" t="n">
        <v>9305</v>
      </c>
      <c r="D148" s="25" t="n">
        <v>1948</v>
      </c>
      <c r="E148" s="26" t="n">
        <v>9147490</v>
      </c>
    </row>
    <row r="149">
      <c r="A149" s="24" t="n">
        <v>2009</v>
      </c>
      <c r="B149" s="24" t="inlineStr">
        <is>
          <t>50</t>
        </is>
      </c>
      <c r="C149" s="25" t="n">
        <v>6698</v>
      </c>
      <c r="D149" s="25" t="n">
        <v>1476</v>
      </c>
      <c r="E149" s="26" t="n">
        <v>6301600</v>
      </c>
    </row>
    <row r="150">
      <c r="A150" s="24" t="n">
        <v>2009</v>
      </c>
      <c r="B150" s="24" t="inlineStr">
        <is>
          <t>51</t>
        </is>
      </c>
      <c r="C150" s="25" t="n">
        <v>2865</v>
      </c>
      <c r="D150" s="25" t="n">
        <v>645</v>
      </c>
      <c r="E150" s="26" t="n">
        <v>2559840</v>
      </c>
    </row>
    <row r="151">
      <c r="A151" s="24" t="n">
        <v>2009</v>
      </c>
      <c r="B151" s="24" t="inlineStr">
        <is>
          <t>52</t>
        </is>
      </c>
      <c r="C151" s="25" t="n">
        <v>6483</v>
      </c>
      <c r="D151" s="25" t="n">
        <v>1438</v>
      </c>
      <c r="E151" s="26" t="n">
        <v>6080110</v>
      </c>
    </row>
    <row r="152">
      <c r="A152" s="24" t="n">
        <v>2009</v>
      </c>
      <c r="B152" s="24" t="inlineStr">
        <is>
          <t>53</t>
        </is>
      </c>
      <c r="C152" s="25" t="n">
        <v>628</v>
      </c>
      <c r="D152" s="25" t="n">
        <v>150</v>
      </c>
      <c r="E152" s="26" t="n">
        <v>525980</v>
      </c>
    </row>
    <row r="153">
      <c r="A153" s="24" t="n">
        <v>2009</v>
      </c>
      <c r="B153" s="24" t="inlineStr">
        <is>
          <t>54</t>
        </is>
      </c>
      <c r="C153" s="25" t="n">
        <v>2709</v>
      </c>
      <c r="D153" s="25" t="n">
        <v>648</v>
      </c>
      <c r="E153" s="26" t="n">
        <v>2535770</v>
      </c>
    </row>
    <row r="154">
      <c r="A154" s="24" t="n">
        <v>2010</v>
      </c>
      <c r="B154" s="24" t="inlineStr">
        <is>
          <t>01</t>
        </is>
      </c>
      <c r="C154" s="25" t="n">
        <v>3658</v>
      </c>
      <c r="D154" s="25" t="n">
        <v>1122</v>
      </c>
      <c r="E154" s="26" t="n">
        <v>3133030</v>
      </c>
    </row>
    <row r="155">
      <c r="A155" s="24" t="n">
        <v>2010</v>
      </c>
      <c r="B155" s="24" t="inlineStr">
        <is>
          <t>02</t>
        </is>
      </c>
      <c r="C155" s="25" t="n">
        <v>276</v>
      </c>
      <c r="D155" s="25" t="n">
        <v>94</v>
      </c>
      <c r="E155" s="26" t="n">
        <v>259210</v>
      </c>
    </row>
    <row r="156">
      <c r="A156" s="24" t="n">
        <v>2010</v>
      </c>
      <c r="B156" s="24" t="inlineStr">
        <is>
          <t>03</t>
        </is>
      </c>
      <c r="C156" s="25" t="n">
        <v>3242</v>
      </c>
      <c r="D156" s="25" t="n">
        <v>1043</v>
      </c>
      <c r="E156" s="26" t="n">
        <v>3630370</v>
      </c>
    </row>
    <row r="157">
      <c r="A157" s="24" t="n">
        <v>2010</v>
      </c>
      <c r="B157" s="24" t="inlineStr">
        <is>
          <t>04</t>
        </is>
      </c>
      <c r="C157" s="25" t="n">
        <v>2353</v>
      </c>
      <c r="D157" s="25" t="n">
        <v>748</v>
      </c>
      <c r="E157" s="26" t="n">
        <v>2240090</v>
      </c>
    </row>
    <row r="158">
      <c r="A158" s="24" t="n">
        <v>2010</v>
      </c>
      <c r="B158" s="24" t="inlineStr">
        <is>
          <t>05</t>
        </is>
      </c>
      <c r="C158" s="25" t="n">
        <v>15643</v>
      </c>
      <c r="D158" s="25" t="n">
        <v>4884</v>
      </c>
      <c r="E158" s="26" t="n">
        <v>14601300</v>
      </c>
    </row>
    <row r="159">
      <c r="A159" s="24" t="n">
        <v>2010</v>
      </c>
      <c r="B159" s="24" t="inlineStr">
        <is>
          <t>06</t>
        </is>
      </c>
      <c r="C159" s="25" t="n">
        <v>2363</v>
      </c>
      <c r="D159" s="25" t="n">
        <v>781</v>
      </c>
      <c r="E159" s="26" t="n">
        <v>2575100</v>
      </c>
    </row>
    <row r="160">
      <c r="A160" s="24" t="n">
        <v>2010</v>
      </c>
      <c r="B160" s="24" t="inlineStr">
        <is>
          <t>07</t>
        </is>
      </c>
      <c r="C160" s="25" t="n">
        <v>2363</v>
      </c>
      <c r="D160" s="25" t="n">
        <v>747</v>
      </c>
      <c r="E160" s="26" t="n">
        <v>2178770</v>
      </c>
    </row>
    <row r="161">
      <c r="A161" s="24" t="n">
        <v>2010</v>
      </c>
      <c r="B161" s="24" t="inlineStr">
        <is>
          <t>08</t>
        </is>
      </c>
      <c r="C161" s="25" t="n">
        <v>742</v>
      </c>
      <c r="D161" s="25" t="n">
        <v>231</v>
      </c>
      <c r="E161" s="26" t="n">
        <v>561670</v>
      </c>
    </row>
    <row r="162">
      <c r="A162" s="24" t="n">
        <v>2010</v>
      </c>
      <c r="B162" s="24" t="inlineStr">
        <is>
          <t>09</t>
        </is>
      </c>
      <c r="C162" s="25" t="n">
        <v>264</v>
      </c>
      <c r="D162" s="25" t="n">
        <v>103</v>
      </c>
      <c r="E162" s="26" t="n">
        <v>262380</v>
      </c>
    </row>
    <row r="163">
      <c r="A163" s="24" t="n">
        <v>2010</v>
      </c>
      <c r="B163" s="24" t="inlineStr">
        <is>
          <t>10</t>
        </is>
      </c>
      <c r="C163" s="25" t="n">
        <v>13330</v>
      </c>
      <c r="D163" s="25" t="n">
        <v>4145</v>
      </c>
      <c r="E163" s="26" t="n">
        <v>13759490</v>
      </c>
    </row>
    <row r="164">
      <c r="A164" s="24" t="n">
        <v>2010</v>
      </c>
      <c r="B164" s="24" t="inlineStr">
        <is>
          <t>11</t>
        </is>
      </c>
      <c r="C164" s="25" t="n">
        <v>5601</v>
      </c>
      <c r="D164" s="25" t="n">
        <v>1685</v>
      </c>
      <c r="E164" s="26" t="n">
        <v>5050570</v>
      </c>
    </row>
    <row r="165">
      <c r="A165" s="24" t="n">
        <v>2010</v>
      </c>
      <c r="B165" s="24" t="inlineStr">
        <is>
          <t>12</t>
        </is>
      </c>
      <c r="C165" s="25" t="n">
        <v>616</v>
      </c>
      <c r="D165" s="25" t="n">
        <v>216</v>
      </c>
      <c r="E165" s="26" t="n">
        <v>611060</v>
      </c>
    </row>
    <row r="166">
      <c r="A166" s="24" t="n">
        <v>2010</v>
      </c>
      <c r="B166" s="24" t="inlineStr">
        <is>
          <t>13</t>
        </is>
      </c>
      <c r="C166" s="25" t="n">
        <v>936</v>
      </c>
      <c r="D166" s="25" t="n">
        <v>285</v>
      </c>
      <c r="E166" s="26" t="n">
        <v>861290</v>
      </c>
    </row>
    <row r="167">
      <c r="A167" s="24" t="n">
        <v>2010</v>
      </c>
      <c r="B167" s="24" t="inlineStr">
        <is>
          <t>14</t>
        </is>
      </c>
      <c r="C167" s="25" t="n">
        <v>7947</v>
      </c>
      <c r="D167" s="25" t="n">
        <v>2436</v>
      </c>
      <c r="E167" s="26" t="n">
        <v>8404020</v>
      </c>
    </row>
    <row r="168">
      <c r="A168" s="24" t="n">
        <v>2010</v>
      </c>
      <c r="B168" s="24" t="inlineStr">
        <is>
          <t>15</t>
        </is>
      </c>
      <c r="C168" s="25" t="n">
        <v>4432</v>
      </c>
      <c r="D168" s="25" t="n">
        <v>1353</v>
      </c>
      <c r="E168" s="26" t="n">
        <v>4689380</v>
      </c>
    </row>
    <row r="169">
      <c r="A169" s="24" t="n">
        <v>2010</v>
      </c>
      <c r="B169" s="24" t="inlineStr">
        <is>
          <t>16</t>
        </is>
      </c>
      <c r="C169" s="25" t="n">
        <v>2237</v>
      </c>
      <c r="D169" s="25" t="n">
        <v>723</v>
      </c>
      <c r="E169" s="26" t="n">
        <v>2267520</v>
      </c>
    </row>
    <row r="170">
      <c r="A170" s="24" t="n">
        <v>2010</v>
      </c>
      <c r="B170" s="24" t="inlineStr">
        <is>
          <t>17</t>
        </is>
      </c>
      <c r="C170" s="25" t="n">
        <v>1943</v>
      </c>
      <c r="D170" s="25" t="n">
        <v>626</v>
      </c>
      <c r="E170" s="26" t="n">
        <v>1868130</v>
      </c>
    </row>
    <row r="171">
      <c r="A171" s="24" t="n">
        <v>2010</v>
      </c>
      <c r="B171" s="24" t="inlineStr">
        <is>
          <t>18</t>
        </is>
      </c>
      <c r="C171" s="25" t="n">
        <v>3476</v>
      </c>
      <c r="D171" s="25" t="n">
        <v>1065</v>
      </c>
      <c r="E171" s="26" t="n">
        <v>3174820</v>
      </c>
    </row>
    <row r="172">
      <c r="A172" s="24" t="n">
        <v>2010</v>
      </c>
      <c r="B172" s="24" t="inlineStr">
        <is>
          <t>19</t>
        </is>
      </c>
      <c r="C172" s="25" t="n">
        <v>2927</v>
      </c>
      <c r="D172" s="25" t="n">
        <v>898</v>
      </c>
      <c r="E172" s="26" t="n">
        <v>2705590</v>
      </c>
    </row>
    <row r="173">
      <c r="A173" s="24" t="n">
        <v>2010</v>
      </c>
      <c r="B173" s="24" t="inlineStr">
        <is>
          <t>20</t>
        </is>
      </c>
      <c r="C173" s="25" t="n">
        <v>1197</v>
      </c>
      <c r="D173" s="25" t="n">
        <v>371</v>
      </c>
      <c r="E173" s="26" t="n">
        <v>1098670</v>
      </c>
    </row>
    <row r="174">
      <c r="A174" s="24" t="n">
        <v>2010</v>
      </c>
      <c r="B174" s="24" t="inlineStr">
        <is>
          <t>21</t>
        </is>
      </c>
      <c r="C174" s="25" t="n">
        <v>3323</v>
      </c>
      <c r="D174" s="25" t="n">
        <v>1026</v>
      </c>
      <c r="E174" s="26" t="n">
        <v>3629540</v>
      </c>
    </row>
    <row r="175">
      <c r="A175" s="24" t="n">
        <v>2010</v>
      </c>
      <c r="B175" s="24" t="inlineStr">
        <is>
          <t>22</t>
        </is>
      </c>
      <c r="C175" s="25" t="n">
        <v>4401</v>
      </c>
      <c r="D175" s="25" t="n">
        <v>1345</v>
      </c>
      <c r="E175" s="26" t="n">
        <v>4469330</v>
      </c>
    </row>
    <row r="176">
      <c r="A176" s="24" t="n">
        <v>2010</v>
      </c>
      <c r="B176" s="24" t="inlineStr">
        <is>
          <t>23</t>
        </is>
      </c>
      <c r="C176" s="25" t="n">
        <v>6964</v>
      </c>
      <c r="D176" s="25" t="n">
        <v>2143</v>
      </c>
      <c r="E176" s="26" t="n">
        <v>6228380</v>
      </c>
    </row>
    <row r="177">
      <c r="A177" s="24" t="n">
        <v>2010</v>
      </c>
      <c r="B177" s="24" t="inlineStr">
        <is>
          <t>24</t>
        </is>
      </c>
      <c r="C177" s="25" t="n">
        <v>2732</v>
      </c>
      <c r="D177" s="25" t="n">
        <v>913</v>
      </c>
      <c r="E177" s="26" t="n">
        <v>2699820</v>
      </c>
    </row>
    <row r="178">
      <c r="A178" s="24" t="n">
        <v>2010</v>
      </c>
      <c r="B178" s="24" t="inlineStr">
        <is>
          <t>25</t>
        </is>
      </c>
      <c r="C178" s="25" t="n">
        <v>2193</v>
      </c>
      <c r="D178" s="25" t="n">
        <v>685</v>
      </c>
      <c r="E178" s="26" t="n">
        <v>2214560</v>
      </c>
    </row>
    <row r="179">
      <c r="A179" s="24" t="n">
        <v>2010</v>
      </c>
      <c r="B179" s="24" t="inlineStr">
        <is>
          <t>26</t>
        </is>
      </c>
      <c r="C179" s="25" t="n">
        <v>4121</v>
      </c>
      <c r="D179" s="25" t="n">
        <v>1288</v>
      </c>
      <c r="E179" s="26" t="n">
        <v>4070850</v>
      </c>
    </row>
    <row r="180">
      <c r="A180" s="24" t="n">
        <v>2010</v>
      </c>
      <c r="B180" s="24" t="inlineStr">
        <is>
          <t>27</t>
        </is>
      </c>
      <c r="C180" s="25" t="n">
        <v>655</v>
      </c>
      <c r="D180" s="25" t="n">
        <v>214</v>
      </c>
      <c r="E180" s="26" t="n">
        <v>617950</v>
      </c>
    </row>
    <row r="181">
      <c r="A181" s="24" t="n">
        <v>2010</v>
      </c>
      <c r="B181" s="24" t="inlineStr">
        <is>
          <t>28</t>
        </is>
      </c>
      <c r="C181" s="25" t="n">
        <v>1277</v>
      </c>
      <c r="D181" s="25" t="n">
        <v>367</v>
      </c>
      <c r="E181" s="26" t="n">
        <v>1491790</v>
      </c>
    </row>
    <row r="182">
      <c r="A182" s="24" t="n">
        <v>2010</v>
      </c>
      <c r="B182" s="24" t="inlineStr">
        <is>
          <t>29</t>
        </is>
      </c>
      <c r="C182" s="25" t="n">
        <v>1287</v>
      </c>
      <c r="D182" s="25" t="n">
        <v>384</v>
      </c>
      <c r="E182" s="26" t="n">
        <v>1288390</v>
      </c>
    </row>
    <row r="183">
      <c r="A183" s="24" t="n">
        <v>2010</v>
      </c>
      <c r="B183" s="24" t="inlineStr">
        <is>
          <t>30</t>
        </is>
      </c>
      <c r="C183" s="25" t="n">
        <v>1058</v>
      </c>
      <c r="D183" s="25" t="n">
        <v>336</v>
      </c>
      <c r="E183" s="26" t="n">
        <v>995530</v>
      </c>
    </row>
    <row r="184">
      <c r="A184" s="24" t="n">
        <v>2010</v>
      </c>
      <c r="B184" s="24" t="inlineStr">
        <is>
          <t>31</t>
        </is>
      </c>
      <c r="C184" s="25" t="n">
        <v>5850</v>
      </c>
      <c r="D184" s="25" t="n">
        <v>1775</v>
      </c>
      <c r="E184" s="26" t="n">
        <v>6287380</v>
      </c>
    </row>
    <row r="185">
      <c r="A185" s="24" t="n">
        <v>2010</v>
      </c>
      <c r="B185" s="24" t="inlineStr">
        <is>
          <t>32</t>
        </is>
      </c>
      <c r="C185" s="25" t="n">
        <v>1058</v>
      </c>
      <c r="D185" s="25" t="n">
        <v>383</v>
      </c>
      <c r="E185" s="26" t="n">
        <v>880990</v>
      </c>
    </row>
    <row r="186">
      <c r="A186" s="24" t="n">
        <v>2010</v>
      </c>
      <c r="B186" s="24" t="inlineStr">
        <is>
          <t>33</t>
        </is>
      </c>
      <c r="C186" s="25" t="n">
        <v>11540</v>
      </c>
      <c r="D186" s="25" t="n">
        <v>3505</v>
      </c>
      <c r="E186" s="26" t="n">
        <v>11423240</v>
      </c>
    </row>
    <row r="187">
      <c r="A187" s="24" t="n">
        <v>2010</v>
      </c>
      <c r="B187" s="24" t="inlineStr">
        <is>
          <t>34</t>
        </is>
      </c>
      <c r="C187" s="25" t="n">
        <v>6313</v>
      </c>
      <c r="D187" s="25" t="n">
        <v>1941</v>
      </c>
      <c r="E187" s="26" t="n">
        <v>6045940</v>
      </c>
    </row>
    <row r="188">
      <c r="A188" s="24" t="n">
        <v>2010</v>
      </c>
      <c r="B188" s="24" t="inlineStr">
        <is>
          <t>35</t>
        </is>
      </c>
      <c r="C188" s="25" t="n">
        <v>593</v>
      </c>
      <c r="D188" s="25" t="n">
        <v>182</v>
      </c>
      <c r="E188" s="26" t="n">
        <v>440810</v>
      </c>
    </row>
    <row r="189">
      <c r="A189" s="24" t="n">
        <v>2010</v>
      </c>
      <c r="B189" s="24" t="inlineStr">
        <is>
          <t>36</t>
        </is>
      </c>
      <c r="C189" s="25" t="n">
        <v>7567</v>
      </c>
      <c r="D189" s="25" t="n">
        <v>2339</v>
      </c>
      <c r="E189" s="26" t="n">
        <v>7711260</v>
      </c>
    </row>
    <row r="190">
      <c r="A190" s="24" t="n">
        <v>2010</v>
      </c>
      <c r="B190" s="24" t="inlineStr">
        <is>
          <t>37</t>
        </is>
      </c>
      <c r="C190" s="25" t="n">
        <v>2549</v>
      </c>
      <c r="D190" s="25" t="n">
        <v>786</v>
      </c>
      <c r="E190" s="26" t="n">
        <v>2606210</v>
      </c>
    </row>
    <row r="191">
      <c r="A191" s="24" t="n">
        <v>2010</v>
      </c>
      <c r="B191" s="24" t="inlineStr">
        <is>
          <t>38</t>
        </is>
      </c>
      <c r="C191" s="25" t="n">
        <v>1850</v>
      </c>
      <c r="D191" s="25" t="n">
        <v>633</v>
      </c>
      <c r="E191" s="26" t="n">
        <v>1951510</v>
      </c>
    </row>
    <row r="192">
      <c r="A192" s="24" t="n">
        <v>2010</v>
      </c>
      <c r="B192" s="24" t="inlineStr">
        <is>
          <t>39</t>
        </is>
      </c>
      <c r="C192" s="25" t="n">
        <v>8209</v>
      </c>
      <c r="D192" s="25" t="n">
        <v>2591</v>
      </c>
      <c r="E192" s="26" t="n">
        <v>7976530</v>
      </c>
    </row>
    <row r="193">
      <c r="A193" s="24" t="n">
        <v>2010</v>
      </c>
      <c r="B193" s="24" t="inlineStr">
        <is>
          <t>41</t>
        </is>
      </c>
      <c r="C193" s="25" t="n">
        <v>598</v>
      </c>
      <c r="D193" s="25" t="n">
        <v>214</v>
      </c>
      <c r="E193" s="26" t="n">
        <v>734570</v>
      </c>
    </row>
    <row r="194">
      <c r="A194" s="24" t="n">
        <v>2010</v>
      </c>
      <c r="B194" s="24" t="inlineStr">
        <is>
          <t>42</t>
        </is>
      </c>
      <c r="C194" s="25" t="n">
        <v>3189</v>
      </c>
      <c r="D194" s="25" t="n">
        <v>987</v>
      </c>
      <c r="E194" s="26" t="n">
        <v>3203830</v>
      </c>
    </row>
    <row r="195">
      <c r="A195" s="24" t="n">
        <v>2010</v>
      </c>
      <c r="B195" s="24" t="inlineStr">
        <is>
          <t>43</t>
        </is>
      </c>
      <c r="C195" s="25" t="n">
        <v>683</v>
      </c>
      <c r="D195" s="25" t="n">
        <v>205</v>
      </c>
      <c r="E195" s="26" t="n">
        <v>536670</v>
      </c>
    </row>
    <row r="196">
      <c r="A196" s="24" t="n">
        <v>2010</v>
      </c>
      <c r="B196" s="24" t="inlineStr">
        <is>
          <t>44</t>
        </is>
      </c>
      <c r="C196" s="25" t="n">
        <v>4340</v>
      </c>
      <c r="D196" s="25" t="n">
        <v>1372</v>
      </c>
      <c r="E196" s="26" t="n">
        <v>3856150</v>
      </c>
    </row>
    <row r="197">
      <c r="A197" s="24" t="n">
        <v>2010</v>
      </c>
      <c r="B197" s="24" t="inlineStr">
        <is>
          <t>45</t>
        </is>
      </c>
      <c r="C197" s="25" t="n">
        <v>12253</v>
      </c>
      <c r="D197" s="25" t="n">
        <v>3788</v>
      </c>
      <c r="E197" s="26" t="n">
        <v>11827120</v>
      </c>
    </row>
    <row r="198">
      <c r="A198" s="24" t="n">
        <v>2010</v>
      </c>
      <c r="B198" s="24" t="inlineStr">
        <is>
          <t>46</t>
        </is>
      </c>
      <c r="C198" s="25" t="n">
        <v>1117</v>
      </c>
      <c r="D198" s="25" t="n">
        <v>372</v>
      </c>
      <c r="E198" s="26" t="n">
        <v>1026870</v>
      </c>
    </row>
    <row r="199">
      <c r="A199" s="24" t="n">
        <v>2010</v>
      </c>
      <c r="B199" s="24" t="inlineStr">
        <is>
          <t>47</t>
        </is>
      </c>
      <c r="C199" s="25" t="n">
        <v>518</v>
      </c>
      <c r="D199" s="25" t="n">
        <v>162</v>
      </c>
      <c r="E199" s="26" t="n">
        <v>528630</v>
      </c>
    </row>
    <row r="200">
      <c r="A200" s="24" t="n">
        <v>2010</v>
      </c>
      <c r="B200" s="24" t="inlineStr">
        <is>
          <t>49</t>
        </is>
      </c>
      <c r="C200" s="25" t="n">
        <v>4915</v>
      </c>
      <c r="D200" s="25" t="n">
        <v>1517</v>
      </c>
      <c r="E200" s="26" t="n">
        <v>4467330</v>
      </c>
    </row>
    <row r="201">
      <c r="A201" s="24" t="n">
        <v>2010</v>
      </c>
      <c r="B201" s="24" t="inlineStr">
        <is>
          <t>50</t>
        </is>
      </c>
      <c r="C201" s="25" t="n">
        <v>3628</v>
      </c>
      <c r="D201" s="25" t="n">
        <v>1161</v>
      </c>
      <c r="E201" s="26" t="n">
        <v>3849830</v>
      </c>
    </row>
    <row r="202">
      <c r="A202" s="24" t="n">
        <v>2010</v>
      </c>
      <c r="B202" s="24" t="inlineStr">
        <is>
          <t>51</t>
        </is>
      </c>
      <c r="C202" s="25" t="n">
        <v>1711</v>
      </c>
      <c r="D202" s="25" t="n">
        <v>530</v>
      </c>
      <c r="E202" s="26" t="n">
        <v>1774220</v>
      </c>
    </row>
    <row r="203">
      <c r="A203" s="24" t="n">
        <v>2010</v>
      </c>
      <c r="B203" s="24" t="inlineStr">
        <is>
          <t>52</t>
        </is>
      </c>
      <c r="C203" s="25" t="n">
        <v>3619</v>
      </c>
      <c r="D203" s="25" t="n">
        <v>1148</v>
      </c>
      <c r="E203" s="26" t="n">
        <v>3301890</v>
      </c>
    </row>
    <row r="204">
      <c r="A204" s="24" t="n">
        <v>2010</v>
      </c>
      <c r="B204" s="24" t="inlineStr">
        <is>
          <t>53</t>
        </is>
      </c>
      <c r="C204" s="25" t="n">
        <v>356</v>
      </c>
      <c r="D204" s="25" t="n">
        <v>131</v>
      </c>
      <c r="E204" s="26" t="n">
        <v>278930</v>
      </c>
    </row>
    <row r="205">
      <c r="A205" s="24" t="n">
        <v>2010</v>
      </c>
      <c r="B205" s="24" t="inlineStr">
        <is>
          <t>54</t>
        </is>
      </c>
      <c r="C205" s="25" t="n">
        <v>1530</v>
      </c>
      <c r="D205" s="25" t="n">
        <v>535</v>
      </c>
      <c r="E205" s="26" t="n">
        <v>1808260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7" customWidth="1" min="4" max="4"/>
  </cols>
  <sheetData>
    <row r="1">
      <c r="A1" s="21" t="inlineStr">
        <is>
          <t>claim_year</t>
        </is>
      </c>
      <c r="B1" s="21" t="inlineStr">
        <is>
          <t>length_of_stay_band</t>
        </is>
      </c>
      <c r="C1" s="21" t="inlineStr">
        <is>
          <t>claims</t>
        </is>
      </c>
      <c r="D1" s="21" t="inlineStr">
        <is>
          <t>total_payment</t>
        </is>
      </c>
    </row>
    <row r="2">
      <c r="A2" s="24" t="n">
        <v>2007</v>
      </c>
      <c r="B2" s="24" t="inlineStr">
        <is>
          <t>0-1 days</t>
        </is>
      </c>
      <c r="C2" s="25" t="n">
        <v>7</v>
      </c>
      <c r="D2" s="26" t="n">
        <v>50000</v>
      </c>
    </row>
    <row r="3">
      <c r="A3" s="24" t="n">
        <v>2007</v>
      </c>
      <c r="B3" s="24" t="inlineStr">
        <is>
          <t>15+ days</t>
        </is>
      </c>
      <c r="C3" s="25" t="n">
        <v>56</v>
      </c>
      <c r="D3" s="26" t="n">
        <v>1154000</v>
      </c>
    </row>
    <row r="4">
      <c r="A4" s="24" t="n">
        <v>2007</v>
      </c>
      <c r="B4" s="24" t="inlineStr">
        <is>
          <t>2-3 days</t>
        </is>
      </c>
      <c r="C4" s="25" t="n">
        <v>35</v>
      </c>
      <c r="D4" s="26" t="n">
        <v>212000</v>
      </c>
    </row>
    <row r="5">
      <c r="A5" s="24" t="n">
        <v>2007</v>
      </c>
      <c r="B5" s="24" t="inlineStr">
        <is>
          <t>4-7 days</t>
        </is>
      </c>
      <c r="C5" s="25" t="n">
        <v>64</v>
      </c>
      <c r="D5" s="26" t="n">
        <v>533000</v>
      </c>
    </row>
    <row r="6">
      <c r="A6" s="24" t="n">
        <v>2007</v>
      </c>
      <c r="B6" s="24" t="inlineStr">
        <is>
          <t>8-14 days</t>
        </is>
      </c>
      <c r="C6" s="25" t="n">
        <v>62</v>
      </c>
      <c r="D6" s="26" t="n">
        <v>821000</v>
      </c>
    </row>
    <row r="7">
      <c r="A7" s="24" t="n">
        <v>2008</v>
      </c>
      <c r="B7" s="24" t="inlineStr">
        <is>
          <t>0-1 days</t>
        </is>
      </c>
      <c r="C7" s="25" t="n">
        <v>3441</v>
      </c>
      <c r="D7" s="26" t="n">
        <v>23855600</v>
      </c>
    </row>
    <row r="8">
      <c r="A8" s="24" t="n">
        <v>2008</v>
      </c>
      <c r="B8" s="24" t="inlineStr">
        <is>
          <t>15+ days</t>
        </is>
      </c>
      <c r="C8" s="25" t="n">
        <v>1864</v>
      </c>
      <c r="D8" s="26" t="n">
        <v>35478610</v>
      </c>
    </row>
    <row r="9">
      <c r="A9" s="24" t="n">
        <v>2008</v>
      </c>
      <c r="B9" s="24" t="inlineStr">
        <is>
          <t>2-3 days</t>
        </is>
      </c>
      <c r="C9" s="25" t="n">
        <v>8715</v>
      </c>
      <c r="D9" s="26" t="n">
        <v>60244060</v>
      </c>
    </row>
    <row r="10">
      <c r="A10" s="24" t="n">
        <v>2008</v>
      </c>
      <c r="B10" s="24" t="inlineStr">
        <is>
          <t>4-7 days</t>
        </is>
      </c>
      <c r="C10" s="25" t="n">
        <v>9423</v>
      </c>
      <c r="D10" s="26" t="n">
        <v>84137150</v>
      </c>
    </row>
    <row r="11">
      <c r="A11" s="24" t="n">
        <v>2008</v>
      </c>
      <c r="B11" s="24" t="inlineStr">
        <is>
          <t>8-14 days</t>
        </is>
      </c>
      <c r="C11" s="25" t="n">
        <v>4235</v>
      </c>
      <c r="D11" s="26" t="n">
        <v>54329460</v>
      </c>
    </row>
    <row r="12">
      <c r="A12" s="24" t="n">
        <v>2009</v>
      </c>
      <c r="B12" s="24" t="inlineStr">
        <is>
          <t>0-1 days</t>
        </is>
      </c>
      <c r="C12" s="25" t="n">
        <v>3288</v>
      </c>
      <c r="D12" s="26" t="n">
        <v>22976190</v>
      </c>
    </row>
    <row r="13">
      <c r="A13" s="24" t="n">
        <v>2009</v>
      </c>
      <c r="B13" s="24" t="inlineStr">
        <is>
          <t>15+ days</t>
        </is>
      </c>
      <c r="C13" s="25" t="n">
        <v>1790</v>
      </c>
      <c r="D13" s="26" t="n">
        <v>33757290</v>
      </c>
    </row>
    <row r="14">
      <c r="A14" s="24" t="n">
        <v>2009</v>
      </c>
      <c r="B14" s="24" t="inlineStr">
        <is>
          <t>2-3 days</t>
        </is>
      </c>
      <c r="C14" s="25" t="n">
        <v>7995</v>
      </c>
      <c r="D14" s="26" t="n">
        <v>58275060</v>
      </c>
    </row>
    <row r="15">
      <c r="A15" s="24" t="n">
        <v>2009</v>
      </c>
      <c r="B15" s="24" t="inlineStr">
        <is>
          <t>4-7 days</t>
        </is>
      </c>
      <c r="C15" s="25" t="n">
        <v>8435</v>
      </c>
      <c r="D15" s="26" t="n">
        <v>80093210</v>
      </c>
    </row>
    <row r="16">
      <c r="A16" s="24" t="n">
        <v>2009</v>
      </c>
      <c r="B16" s="24" t="inlineStr">
        <is>
          <t>8-14 days</t>
        </is>
      </c>
      <c r="C16" s="25" t="n">
        <v>3723</v>
      </c>
      <c r="D16" s="26" t="n">
        <v>50402220</v>
      </c>
    </row>
    <row r="17">
      <c r="A17" s="24" t="n">
        <v>2010</v>
      </c>
      <c r="B17" s="24" t="inlineStr">
        <is>
          <t>0-1 days</t>
        </is>
      </c>
      <c r="C17" s="25" t="n">
        <v>1925</v>
      </c>
      <c r="D17" s="26" t="n">
        <v>13049180</v>
      </c>
    </row>
    <row r="18">
      <c r="A18" s="24" t="n">
        <v>2010</v>
      </c>
      <c r="B18" s="24" t="inlineStr">
        <is>
          <t>15+ days</t>
        </is>
      </c>
      <c r="C18" s="25" t="n">
        <v>826</v>
      </c>
      <c r="D18" s="26" t="n">
        <v>15739600</v>
      </c>
    </row>
    <row r="19">
      <c r="A19" s="24" t="n">
        <v>2010</v>
      </c>
      <c r="B19" s="24" t="inlineStr">
        <is>
          <t>2-3 days</t>
        </is>
      </c>
      <c r="C19" s="25" t="n">
        <v>4355</v>
      </c>
      <c r="D19" s="26" t="n">
        <v>32611020</v>
      </c>
    </row>
    <row r="20">
      <c r="A20" s="24" t="n">
        <v>2010</v>
      </c>
      <c r="B20" s="24" t="inlineStr">
        <is>
          <t>4-7 days</t>
        </is>
      </c>
      <c r="C20" s="25" t="n">
        <v>4501</v>
      </c>
      <c r="D20" s="26" t="n">
        <v>44031110</v>
      </c>
    </row>
    <row r="21">
      <c r="A21" s="24" t="n">
        <v>2010</v>
      </c>
      <c r="B21" s="24" t="inlineStr">
        <is>
          <t>8-14 days</t>
        </is>
      </c>
      <c r="C21" s="25" t="n">
        <v>1965</v>
      </c>
      <c r="D21" s="26" t="n">
        <v>27510420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27" customWidth="1" min="4" max="4"/>
    <col width="32" customWidth="1" min="5" max="5"/>
    <col width="35" customWidth="1" min="6" max="6"/>
  </cols>
  <sheetData>
    <row r="1">
      <c r="A1" s="21" t="inlineStr">
        <is>
          <t>coverage_year</t>
        </is>
      </c>
      <c r="B1" s="21" t="inlineStr">
        <is>
          <t>condition</t>
        </is>
      </c>
      <c r="C1" s="21" t="inlineStr">
        <is>
          <t>total_patients</t>
        </is>
      </c>
      <c r="D1" s="21" t="inlineStr">
        <is>
          <t>patients_with_condition</t>
        </is>
      </c>
      <c r="E1" s="21" t="inlineStr">
        <is>
          <t>reimbursement_with_condition</t>
        </is>
      </c>
      <c r="F1" s="21" t="inlineStr">
        <is>
          <t>reimbursement_without_condition</t>
        </is>
      </c>
    </row>
    <row r="2">
      <c r="A2" s="24" t="n">
        <v>2008</v>
      </c>
      <c r="B2" s="24" t="inlineStr">
        <is>
          <t>Alzheimer's / dementia</t>
        </is>
      </c>
      <c r="C2" s="25" t="n">
        <v>116352</v>
      </c>
      <c r="D2" s="25" t="n">
        <v>22410</v>
      </c>
      <c r="E2" s="26" t="n">
        <v>230422070</v>
      </c>
      <c r="F2" s="26" t="n">
        <v>234811770</v>
      </c>
    </row>
    <row r="3">
      <c r="A3" s="24" t="n">
        <v>2008</v>
      </c>
      <c r="B3" s="24" t="inlineStr">
        <is>
          <t>COPD</t>
        </is>
      </c>
      <c r="C3" s="25" t="n">
        <v>116352</v>
      </c>
      <c r="D3" s="25" t="n">
        <v>15743</v>
      </c>
      <c r="E3" s="26" t="n">
        <v>224074980</v>
      </c>
      <c r="F3" s="26" t="n">
        <v>241158860</v>
      </c>
    </row>
    <row r="4">
      <c r="A4" s="24" t="n">
        <v>2008</v>
      </c>
      <c r="B4" s="24" t="inlineStr">
        <is>
          <t>Cancer</t>
        </is>
      </c>
      <c r="C4" s="25" t="n">
        <v>116352</v>
      </c>
      <c r="D4" s="25" t="n">
        <v>7415</v>
      </c>
      <c r="E4" s="26" t="n">
        <v>97756740</v>
      </c>
      <c r="F4" s="26" t="n">
        <v>367477100</v>
      </c>
    </row>
    <row r="5">
      <c r="A5" s="24" t="n">
        <v>2008</v>
      </c>
      <c r="B5" s="24" t="inlineStr">
        <is>
          <t>Chronic kidney disease</t>
        </is>
      </c>
      <c r="C5" s="25" t="n">
        <v>116352</v>
      </c>
      <c r="D5" s="25" t="n">
        <v>18686</v>
      </c>
      <c r="E5" s="26" t="n">
        <v>276010150</v>
      </c>
      <c r="F5" s="26" t="n">
        <v>189223690</v>
      </c>
    </row>
    <row r="6">
      <c r="A6" s="24" t="n">
        <v>2008</v>
      </c>
      <c r="B6" s="24" t="inlineStr">
        <is>
          <t>Depression</t>
        </is>
      </c>
      <c r="C6" s="25" t="n">
        <v>116352</v>
      </c>
      <c r="D6" s="25" t="n">
        <v>24840</v>
      </c>
      <c r="E6" s="26" t="n">
        <v>229567770</v>
      </c>
      <c r="F6" s="26" t="n">
        <v>235666070</v>
      </c>
    </row>
    <row r="7">
      <c r="A7" s="24" t="n">
        <v>2008</v>
      </c>
      <c r="B7" s="24" t="inlineStr">
        <is>
          <t>Diabetes</t>
        </is>
      </c>
      <c r="C7" s="25" t="n">
        <v>116352</v>
      </c>
      <c r="D7" s="25" t="n">
        <v>44060</v>
      </c>
      <c r="E7" s="26" t="n">
        <v>367554240</v>
      </c>
      <c r="F7" s="26" t="n">
        <v>97679600</v>
      </c>
    </row>
    <row r="8">
      <c r="A8" s="24" t="n">
        <v>2008</v>
      </c>
      <c r="B8" s="24" t="inlineStr">
        <is>
          <t>Heart failure</t>
        </is>
      </c>
      <c r="C8" s="25" t="n">
        <v>116352</v>
      </c>
      <c r="D8" s="25" t="n">
        <v>33155</v>
      </c>
      <c r="E8" s="26" t="n">
        <v>336295310</v>
      </c>
      <c r="F8" s="26" t="n">
        <v>128938530</v>
      </c>
    </row>
    <row r="9">
      <c r="A9" s="24" t="n">
        <v>2008</v>
      </c>
      <c r="B9" s="24" t="inlineStr">
        <is>
          <t>Ischemic heart disease</t>
        </is>
      </c>
      <c r="C9" s="25" t="n">
        <v>116352</v>
      </c>
      <c r="D9" s="25" t="n">
        <v>48942</v>
      </c>
      <c r="E9" s="26" t="n">
        <v>397959420</v>
      </c>
      <c r="F9" s="26" t="n">
        <v>67274420</v>
      </c>
    </row>
    <row r="10">
      <c r="A10" s="24" t="n">
        <v>2008</v>
      </c>
      <c r="B10" s="24" t="inlineStr">
        <is>
          <t>Osteoporosis</t>
        </is>
      </c>
      <c r="C10" s="25" t="n">
        <v>116352</v>
      </c>
      <c r="D10" s="25" t="n">
        <v>20177</v>
      </c>
      <c r="E10" s="26" t="n">
        <v>160043610</v>
      </c>
      <c r="F10" s="26" t="n">
        <v>305190230</v>
      </c>
    </row>
    <row r="11">
      <c r="A11" s="24" t="n">
        <v>2008</v>
      </c>
      <c r="B11" s="24" t="inlineStr">
        <is>
          <t>Rheumatoid / osteo arthritis</t>
        </is>
      </c>
      <c r="C11" s="25" t="n">
        <v>116352</v>
      </c>
      <c r="D11" s="25" t="n">
        <v>17916</v>
      </c>
      <c r="E11" s="26" t="n">
        <v>172642720</v>
      </c>
      <c r="F11" s="26" t="n">
        <v>292591120</v>
      </c>
    </row>
    <row r="12">
      <c r="A12" s="24" t="n">
        <v>2008</v>
      </c>
      <c r="B12" s="24" t="inlineStr">
        <is>
          <t>Stroke / TIA</t>
        </is>
      </c>
      <c r="C12" s="25" t="n">
        <v>116352</v>
      </c>
      <c r="D12" s="25" t="n">
        <v>5223</v>
      </c>
      <c r="E12" s="26" t="n">
        <v>92540430</v>
      </c>
      <c r="F12" s="26" t="n">
        <v>372693410</v>
      </c>
    </row>
    <row r="13">
      <c r="A13" s="24" t="n">
        <v>2009</v>
      </c>
      <c r="B13" s="24" t="inlineStr">
        <is>
          <t>Alzheimer's / dementia</t>
        </is>
      </c>
      <c r="C13" s="25" t="n">
        <v>114538</v>
      </c>
      <c r="D13" s="25" t="n">
        <v>26404</v>
      </c>
      <c r="E13" s="26" t="n">
        <v>221852610</v>
      </c>
      <c r="F13" s="26" t="n">
        <v>270362770</v>
      </c>
    </row>
    <row r="14">
      <c r="A14" s="24" t="n">
        <v>2009</v>
      </c>
      <c r="B14" s="24" t="inlineStr">
        <is>
          <t>COPD</t>
        </is>
      </c>
      <c r="C14" s="25" t="n">
        <v>114538</v>
      </c>
      <c r="D14" s="25" t="n">
        <v>17925</v>
      </c>
      <c r="E14" s="26" t="n">
        <v>196458860</v>
      </c>
      <c r="F14" s="26" t="n">
        <v>295756520</v>
      </c>
    </row>
    <row r="15">
      <c r="A15" s="24" t="n">
        <v>2009</v>
      </c>
      <c r="B15" s="24" t="inlineStr">
        <is>
          <t>Cancer</t>
        </is>
      </c>
      <c r="C15" s="25" t="n">
        <v>114538</v>
      </c>
      <c r="D15" s="25" t="n">
        <v>9336</v>
      </c>
      <c r="E15" s="26" t="n">
        <v>91766310</v>
      </c>
      <c r="F15" s="26" t="n">
        <v>400449070</v>
      </c>
    </row>
    <row r="16">
      <c r="A16" s="24" t="n">
        <v>2009</v>
      </c>
      <c r="B16" s="24" t="inlineStr">
        <is>
          <t>Chronic kidney disease</t>
        </is>
      </c>
      <c r="C16" s="25" t="n">
        <v>114538</v>
      </c>
      <c r="D16" s="25" t="n">
        <v>23718</v>
      </c>
      <c r="E16" s="26" t="n">
        <v>270957830</v>
      </c>
      <c r="F16" s="26" t="n">
        <v>221257550</v>
      </c>
    </row>
    <row r="17">
      <c r="A17" s="24" t="n">
        <v>2009</v>
      </c>
      <c r="B17" s="24" t="inlineStr">
        <is>
          <t>Depression</t>
        </is>
      </c>
      <c r="C17" s="25" t="n">
        <v>114538</v>
      </c>
      <c r="D17" s="25" t="n">
        <v>28085</v>
      </c>
      <c r="E17" s="26" t="n">
        <v>226766070</v>
      </c>
      <c r="F17" s="26" t="n">
        <v>265449310</v>
      </c>
    </row>
    <row r="18">
      <c r="A18" s="24" t="n">
        <v>2009</v>
      </c>
      <c r="B18" s="24" t="inlineStr">
        <is>
          <t>Diabetes</t>
        </is>
      </c>
      <c r="C18" s="25" t="n">
        <v>114538</v>
      </c>
      <c r="D18" s="25" t="n">
        <v>47709</v>
      </c>
      <c r="E18" s="26" t="n">
        <v>377263030</v>
      </c>
      <c r="F18" s="26" t="n">
        <v>114952350</v>
      </c>
    </row>
    <row r="19">
      <c r="A19" s="24" t="n">
        <v>2009</v>
      </c>
      <c r="B19" s="24" t="inlineStr">
        <is>
          <t>Heart failure</t>
        </is>
      </c>
      <c r="C19" s="25" t="n">
        <v>114538</v>
      </c>
      <c r="D19" s="25" t="n">
        <v>39438</v>
      </c>
      <c r="E19" s="26" t="n">
        <v>332890710</v>
      </c>
      <c r="F19" s="26" t="n">
        <v>159324670</v>
      </c>
    </row>
    <row r="20">
      <c r="A20" s="24" t="n">
        <v>2009</v>
      </c>
      <c r="B20" s="24" t="inlineStr">
        <is>
          <t>Ischemic heart disease</t>
        </is>
      </c>
      <c r="C20" s="25" t="n">
        <v>114538</v>
      </c>
      <c r="D20" s="25" t="n">
        <v>54601</v>
      </c>
      <c r="E20" s="26" t="n">
        <v>406092590</v>
      </c>
      <c r="F20" s="26" t="n">
        <v>86122790</v>
      </c>
    </row>
    <row r="21">
      <c r="A21" s="24" t="n">
        <v>2009</v>
      </c>
      <c r="B21" s="24" t="inlineStr">
        <is>
          <t>Osteoporosis</t>
        </is>
      </c>
      <c r="C21" s="25" t="n">
        <v>114538</v>
      </c>
      <c r="D21" s="25" t="n">
        <v>21908</v>
      </c>
      <c r="E21" s="26" t="n">
        <v>164947540</v>
      </c>
      <c r="F21" s="26" t="n">
        <v>327267840</v>
      </c>
    </row>
    <row r="22">
      <c r="A22" s="24" t="n">
        <v>2009</v>
      </c>
      <c r="B22" s="24" t="inlineStr">
        <is>
          <t>Rheumatoid / osteo arthritis</t>
        </is>
      </c>
      <c r="C22" s="25" t="n">
        <v>114538</v>
      </c>
      <c r="D22" s="25" t="n">
        <v>19994</v>
      </c>
      <c r="E22" s="26" t="n">
        <v>168965390</v>
      </c>
      <c r="F22" s="26" t="n">
        <v>323249990</v>
      </c>
    </row>
    <row r="23">
      <c r="A23" s="24" t="n">
        <v>2009</v>
      </c>
      <c r="B23" s="24" t="inlineStr">
        <is>
          <t>Stroke / TIA</t>
        </is>
      </c>
      <c r="C23" s="25" t="n">
        <v>114538</v>
      </c>
      <c r="D23" s="25" t="n">
        <v>6030</v>
      </c>
      <c r="E23" s="26" t="n">
        <v>72815800</v>
      </c>
      <c r="F23" s="26" t="n">
        <v>419399580</v>
      </c>
    </row>
    <row r="24">
      <c r="A24" s="24" t="n">
        <v>2010</v>
      </c>
      <c r="B24" s="24" t="inlineStr">
        <is>
          <t>Alzheimer's / dementia</t>
        </is>
      </c>
      <c r="C24" s="25" t="n">
        <v>112754</v>
      </c>
      <c r="D24" s="25" t="n">
        <v>18689</v>
      </c>
      <c r="E24" s="26" t="n">
        <v>89145220</v>
      </c>
      <c r="F24" s="26" t="n">
        <v>195173330</v>
      </c>
    </row>
    <row r="25">
      <c r="A25" s="24" t="n">
        <v>2010</v>
      </c>
      <c r="B25" s="24" t="inlineStr">
        <is>
          <t>COPD</t>
        </is>
      </c>
      <c r="C25" s="25" t="n">
        <v>112754</v>
      </c>
      <c r="D25" s="25" t="n">
        <v>10105</v>
      </c>
      <c r="E25" s="26" t="n">
        <v>71129580</v>
      </c>
      <c r="F25" s="26" t="n">
        <v>213188970</v>
      </c>
    </row>
    <row r="26">
      <c r="A26" s="24" t="n">
        <v>2010</v>
      </c>
      <c r="B26" s="24" t="inlineStr">
        <is>
          <t>Cancer</t>
        </is>
      </c>
      <c r="C26" s="25" t="n">
        <v>112754</v>
      </c>
      <c r="D26" s="25" t="n">
        <v>5733</v>
      </c>
      <c r="E26" s="26" t="n">
        <v>35866240</v>
      </c>
      <c r="F26" s="26" t="n">
        <v>248452310</v>
      </c>
    </row>
    <row r="27">
      <c r="A27" s="24" t="n">
        <v>2010</v>
      </c>
      <c r="B27" s="24" t="inlineStr">
        <is>
          <t>Chronic kidney disease</t>
        </is>
      </c>
      <c r="C27" s="25" t="n">
        <v>112754</v>
      </c>
      <c r="D27" s="25" t="n">
        <v>15619</v>
      </c>
      <c r="E27" s="26" t="n">
        <v>119182020</v>
      </c>
      <c r="F27" s="26" t="n">
        <v>165136530</v>
      </c>
    </row>
    <row r="28">
      <c r="A28" s="24" t="n">
        <v>2010</v>
      </c>
      <c r="B28" s="24" t="inlineStr">
        <is>
          <t>Depression</t>
        </is>
      </c>
      <c r="C28" s="25" t="n">
        <v>112754</v>
      </c>
      <c r="D28" s="25" t="n">
        <v>20042</v>
      </c>
      <c r="E28" s="26" t="n">
        <v>92019690</v>
      </c>
      <c r="F28" s="26" t="n">
        <v>192298860</v>
      </c>
    </row>
    <row r="29">
      <c r="A29" s="24" t="n">
        <v>2010</v>
      </c>
      <c r="B29" s="24" t="inlineStr">
        <is>
          <t>Diabetes</t>
        </is>
      </c>
      <c r="C29" s="25" t="n">
        <v>112754</v>
      </c>
      <c r="D29" s="25" t="n">
        <v>32978</v>
      </c>
      <c r="E29" s="26" t="n">
        <v>165086350</v>
      </c>
      <c r="F29" s="26" t="n">
        <v>119232200</v>
      </c>
    </row>
    <row r="30">
      <c r="A30" s="24" t="n">
        <v>2010</v>
      </c>
      <c r="B30" s="24" t="inlineStr">
        <is>
          <t>Heart failure</t>
        </is>
      </c>
      <c r="C30" s="25" t="n">
        <v>112754</v>
      </c>
      <c r="D30" s="25" t="n">
        <v>29159</v>
      </c>
      <c r="E30" s="26" t="n">
        <v>149140550</v>
      </c>
      <c r="F30" s="26" t="n">
        <v>135178000</v>
      </c>
    </row>
    <row r="31">
      <c r="A31" s="24" t="n">
        <v>2010</v>
      </c>
      <c r="B31" s="24" t="inlineStr">
        <is>
          <t>Ischemic heart disease</t>
        </is>
      </c>
      <c r="C31" s="25" t="n">
        <v>112754</v>
      </c>
      <c r="D31" s="25" t="n">
        <v>42165</v>
      </c>
      <c r="E31" s="26" t="n">
        <v>194422520</v>
      </c>
      <c r="F31" s="26" t="n">
        <v>89896030</v>
      </c>
    </row>
    <row r="32">
      <c r="A32" s="24" t="n">
        <v>2010</v>
      </c>
      <c r="B32" s="24" t="inlineStr">
        <is>
          <t>Osteoporosis</t>
        </is>
      </c>
      <c r="C32" s="25" t="n">
        <v>112754</v>
      </c>
      <c r="D32" s="25" t="n">
        <v>14691</v>
      </c>
      <c r="E32" s="26" t="n">
        <v>65185630</v>
      </c>
      <c r="F32" s="26" t="n">
        <v>219132920</v>
      </c>
    </row>
    <row r="33">
      <c r="A33" s="24" t="n">
        <v>2010</v>
      </c>
      <c r="B33" s="24" t="inlineStr">
        <is>
          <t>Rheumatoid / osteo arthritis</t>
        </is>
      </c>
      <c r="C33" s="25" t="n">
        <v>112754</v>
      </c>
      <c r="D33" s="25" t="n">
        <v>10912</v>
      </c>
      <c r="E33" s="26" t="n">
        <v>54496040</v>
      </c>
      <c r="F33" s="26" t="n">
        <v>229822510</v>
      </c>
    </row>
    <row r="34">
      <c r="A34" s="24" t="n">
        <v>2010</v>
      </c>
      <c r="B34" s="24" t="inlineStr">
        <is>
          <t>Stroke / TIA</t>
        </is>
      </c>
      <c r="C34" s="25" t="n">
        <v>112754</v>
      </c>
      <c r="D34" s="25" t="n">
        <v>2951</v>
      </c>
      <c r="E34" s="26" t="n">
        <v>21861410</v>
      </c>
      <c r="F34" s="26" t="n">
        <v>262457140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10" customWidth="1" min="3" max="3"/>
  </cols>
  <sheetData>
    <row r="2">
      <c r="B2" s="1" t="inlineStr">
        <is>
          <t>Notes</t>
        </is>
      </c>
    </row>
    <row r="3">
      <c r="B3" s="2" t="inlineStr">
        <is>
          <t>Where the data comes from and how to use this workbook.</t>
        </is>
      </c>
    </row>
    <row r="5" ht="30" customHeight="1">
      <c r="B5" s="21" t="inlineStr">
        <is>
          <t>Source</t>
        </is>
      </c>
      <c r="C5" s="27" t="inlineStr">
        <is>
          <t>CMS 2008-2010 Data Entrepreneurs' Synthetic Public Use File (DE-SynPUF), Sample 1: synthetic Medicare data, https://www.cms.gov/data-research/statistics-trends-and-reports/medicare-claims-synthetic-public-use-files</t>
        </is>
      </c>
    </row>
    <row r="6" ht="30" customHeight="1">
      <c r="B6" s="21" t="inlineStr">
        <is>
          <t>Pipeline</t>
        </is>
      </c>
      <c r="C6" s="27" t="inlineStr">
        <is>
          <t>Data comes from the gold layer of https://github.com/siddhidokania/healthcare-claims-etl (python -m pipeline.export_bi writes the Data_ sheets' CSVs).</t>
        </is>
      </c>
    </row>
    <row r="7" ht="30" customHeight="1">
      <c r="B7" s="21" t="inlineStr">
        <is>
          <t>Claims</t>
        </is>
      </c>
      <c r="C7" s="27" t="inlineStr">
        <is>
          <t>One row per claim; claims split into two source segments are consolidated. 278 invalid claim segments were quarantined by the pipeline and are not included.</t>
        </is>
      </c>
    </row>
    <row r="8" ht="30" customHeight="1">
      <c r="B8" s="21" t="inlineStr">
        <is>
          <t>Payment</t>
        </is>
      </c>
      <c r="C8" s="27" t="inlineStr">
        <is>
          <t>Medicare claim payment amount (CLM_PMT_AMT) in USD. Negative values are adjustments.</t>
        </is>
      </c>
    </row>
    <row r="9" ht="30" customHeight="1">
      <c r="B9" s="21" t="inlineStr">
        <is>
          <t>Diagnosis chapter</t>
        </is>
      </c>
      <c r="C9" s="27" t="inlineStr">
        <is>
          <t>ICD-9-CM chapter of the claim's primary diagnosis.</t>
        </is>
      </c>
    </row>
    <row r="10" ht="30" customHeight="1">
      <c r="B10" s="21" t="inlineStr">
        <is>
          <t>Chronic conditions</t>
        </is>
      </c>
      <c r="C10" s="27" t="inlineStr">
        <is>
          <t>From the yearly beneficiary summary files; reimbursement is annual inpatient + outpatient + carrier.</t>
        </is>
      </c>
    </row>
    <row r="11" ht="30" customHeight="1">
      <c r="B11" s="21" t="inlineStr">
        <is>
          <t>Formulas</t>
        </is>
      </c>
      <c r="C11" s="27" t="inlineStr">
        <is>
          <t>All summary numbers are SUMIFS formulas over the Data_ sheets. Replace a Data_ sheet's rows with a newer export and the summaries update.</t>
        </is>
      </c>
    </row>
    <row r="12" ht="30" customHeight="1">
      <c r="B12" s="21" t="inlineStr">
        <is>
          <t>Input cells</t>
        </is>
      </c>
      <c r="C12" s="27" t="inlineStr">
        <is>
          <t>Yellow cells with blue text are inputs (Chronic Conditions!C5).</t>
        </is>
      </c>
    </row>
    <row r="13" ht="30" customHeight="1">
      <c r="B13" s="21" t="inlineStr">
        <is>
          <t>Practice</t>
        </is>
      </c>
      <c r="C13" s="27" t="inlineStr">
        <is>
          <t>Insert &gt; PivotTable on Data_Monthly or Data_Diagnosis to explore further (e.g. payment by year and chapter).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2026-10-26T11:11:24Z</dcterms:created>
  <dcterms:modified xsi:type="dcterms:W3CDTF">2026-10-26T11:11:24Z</dcterms:modified>
</cp:coreProperties>
</file>